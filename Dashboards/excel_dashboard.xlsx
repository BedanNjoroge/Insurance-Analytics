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mkuac-my.sharepoint.com/personal/bkungu_mku_ac_ke/Documents/Bedan_P/Insurance-Analytics/Dashboards/"/>
    </mc:Choice>
  </mc:AlternateContent>
  <xr:revisionPtr revIDLastSave="10" documentId="8_{4403DC84-0200-407B-BCD7-0863F171513D}" xr6:coauthVersionLast="47" xr6:coauthVersionMax="47" xr10:uidLastSave="{3D6FBA79-4A1A-4C95-9FA1-75CA66E82F08}"/>
  <bookViews>
    <workbookView xWindow="-120" yWindow="-120" windowWidth="24240" windowHeight="13020" activeTab="3" xr2:uid="{9BC4F1A2-2171-4A46-B2E8-7BB8F2454BB3}"/>
  </bookViews>
  <sheets>
    <sheet name="Original Data" sheetId="5" r:id="rId1"/>
    <sheet name="Table1" sheetId="6" r:id="rId2"/>
    <sheet name="PivotTables" sheetId="7" r:id="rId3"/>
    <sheet name="Overview" sheetId="2" r:id="rId4"/>
    <sheet name="Age Insights" sheetId="3" r:id="rId5"/>
    <sheet name="BMI Insights" sheetId="4" r:id="rId6"/>
  </sheets>
  <definedNames>
    <definedName name="ExternalData_1" localSheetId="1" hidden="1">Table1!$A$1:$G$1339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6" l="1"/>
  <c r="Q4" i="6"/>
  <c r="Q5" i="6"/>
  <c r="Q6" i="6"/>
  <c r="Q7" i="6"/>
  <c r="Q2" i="6"/>
  <c r="N2" i="6" a="1"/>
  <c r="N2" i="6" s="1"/>
  <c r="O2" i="6" s="1"/>
  <c r="I2" i="6"/>
  <c r="K2" i="6" a="1"/>
  <c r="K2" i="6" s="1"/>
  <c r="L2" i="6" s="1"/>
  <c r="K4" i="7" a="1"/>
  <c r="K4" i="7" s="1"/>
  <c r="G4" i="7" a="1"/>
  <c r="G4" i="7" s="1"/>
  <c r="O4" i="7"/>
  <c r="B4" i="7"/>
  <c r="L5" i="6" l="1"/>
  <c r="L6" i="6"/>
  <c r="L4" i="6"/>
  <c r="L3" i="6"/>
  <c r="O7" i="6"/>
  <c r="L10" i="6"/>
  <c r="O6" i="6"/>
  <c r="L9" i="6"/>
  <c r="O5" i="6"/>
  <c r="L11" i="6"/>
  <c r="L8" i="6"/>
  <c r="O4" i="6"/>
  <c r="L7" i="6"/>
  <c r="O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16795-87C4-4AE7-B0AF-CE6218DAAE62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<sst xmlns="http://schemas.openxmlformats.org/spreadsheetml/2006/main" count="10881" uniqueCount="53">
  <si>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</si>
  <si>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</si>
  <si>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</si>
  <si>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</si>
  <si>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</si>
  <si>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</si>
  <si>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</si>
  <si>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</si>
  <si>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</si>
  <si>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</si>
  <si>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</si>
  <si>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</si>
  <si>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</si>
  <si>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</si>
  <si>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</si>
  <si>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 Bracket</t>
  </si>
  <si>
    <t>BMI Bracket</t>
  </si>
  <si>
    <t>19 - 25</t>
  </si>
  <si>
    <t>Overweight</t>
  </si>
  <si>
    <t>0 - 18</t>
  </si>
  <si>
    <t>Obese I</t>
  </si>
  <si>
    <t>26 - 30</t>
  </si>
  <si>
    <t>31 - 35</t>
  </si>
  <si>
    <t>Normal</t>
  </si>
  <si>
    <t>46 - 50</t>
  </si>
  <si>
    <t>36 - 40</t>
  </si>
  <si>
    <t>56 - 60</t>
  </si>
  <si>
    <t>61 - 65</t>
  </si>
  <si>
    <t>Obese II</t>
  </si>
  <si>
    <t>Obese III</t>
  </si>
  <si>
    <t>51 - 55</t>
  </si>
  <si>
    <t>Underweight</t>
  </si>
  <si>
    <t>41 - 45</t>
  </si>
  <si>
    <t>Average Charges by BMI Bracket</t>
  </si>
  <si>
    <t>Average Charges by Age Bracket</t>
  </si>
  <si>
    <t>Average Charges by Smoker Status</t>
  </si>
  <si>
    <t>KPI Cards</t>
  </si>
  <si>
    <t>Average Insurance Charge</t>
  </si>
  <si>
    <t>Core Age Bracket (Mode)</t>
  </si>
  <si>
    <t>Core BMI Bracket (Mode)</t>
  </si>
  <si>
    <t>Avg No of Dependants</t>
  </si>
  <si>
    <t>Avg Charges by Age Bracket (Gender)</t>
  </si>
  <si>
    <t>Avg Charges by Age Bracket (Dependants)</t>
  </si>
  <si>
    <t>Avg Charges by Age Bracket (Smoker)</t>
  </si>
  <si>
    <t>Avg Charges by Age Bracket (Region)</t>
  </si>
  <si>
    <t>Row Labels</t>
  </si>
  <si>
    <t>Grand Total</t>
  </si>
  <si>
    <t>Column Labels</t>
  </si>
  <si>
    <t>Average of charges</t>
  </si>
  <si>
    <t>Avg Charges by BMI Bracket (Gender)</t>
  </si>
  <si>
    <t>Avg Charges by BMI Bracket (Smoker)</t>
  </si>
  <si>
    <t>Avg Charges by BMI Bracket (Dependants)</t>
  </si>
  <si>
    <t>Avg Charges by BMI Bracket (Region)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</si>
</sst>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2" fillId="2" borderId="0" xfId="2" applyFill="1"/>
    <xf numFmtId="0" fontId="0" fillId="0" borderId="0" xfId="0" applyNumberFormat="1"/>
    <xf numFmtId="0" fontId="4" fillId="0" borderId="0" xfId="0" applyFont="1"/>
    <xf numFmtId="43" fontId="4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67" fontId="4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EBF0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Average Charges by Age</a:t>
            </a:r>
            <a:r>
              <a:rPr lang="en-US" baseline="0">
                <a:solidFill>
                  <a:schemeClr val="bg2">
                    <a:lumMod val="50000"/>
                  </a:schemeClr>
                </a:solidFill>
              </a:rPr>
              <a:t> Bracket</a:t>
            </a:r>
            <a:endParaRPr lang="en-US">
              <a:solidFill>
                <a:schemeClr val="bg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PivotTables!$B$10:$B$20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PivotTables!$C$10:$C$20</c:f>
              <c:numCache>
                <c:formatCode>General</c:formatCode>
                <c:ptCount val="10"/>
                <c:pt idx="0">
                  <c:v>7086.2179710144956</c:v>
                </c:pt>
                <c:pt idx="1">
                  <c:v>9669.5266244725753</c:v>
                </c:pt>
                <c:pt idx="2">
                  <c:v>10086.132753623182</c:v>
                </c:pt>
                <c:pt idx="3">
                  <c:v>10929.364538461541</c:v>
                </c:pt>
                <c:pt idx="4">
                  <c:v>12366.022834645672</c:v>
                </c:pt>
                <c:pt idx="5">
                  <c:v>14538.65116788321</c:v>
                </c:pt>
                <c:pt idx="6">
                  <c:v>15013.603263888883</c:v>
                </c:pt>
                <c:pt idx="7">
                  <c:v>16988.005214285713</c:v>
                </c:pt>
                <c:pt idx="8">
                  <c:v>17145.494880000002</c:v>
                </c:pt>
                <c:pt idx="9">
                  <c:v>21063.163296703307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6-4AAC-BA61-E51B9A3F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955199"/>
        <c:axId val="1333949791"/>
      </c:barChart>
      <c:catAx>
        <c:axId val="133395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33949791"/>
        <c:crosses val="autoZero"/>
        <c:auto val="1"/>
        <c:lblAlgn val="ctr"/>
        <c:lblOffset val="100"/>
        <c:noMultiLvlLbl val="0"/>
      </c:catAx>
      <c:valAx>
        <c:axId val="13339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3395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chemeClr val="bg2">
                    <a:lumMod val="50000"/>
                  </a:schemeClr>
                </a:solidFill>
                <a:effectLst/>
              </a:rPr>
              <a:t>Average Charges by BMI Bracket</a:t>
            </a:r>
            <a:endParaRPr lang="en-KE" sz="1400">
              <a:solidFill>
                <a:schemeClr val="bg2">
                  <a:lumMod val="50000"/>
                </a:scheme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PivotTables!$G$10:$G$16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PivotTables!$H$10:$H$16</c:f>
              <c:numCache>
                <c:formatCode>General</c:formatCode>
                <c:ptCount val="6"/>
                <c:pt idx="0">
                  <c:v>8852.2010000000009</c:v>
                </c:pt>
                <c:pt idx="1">
                  <c:v>10379.499684684683</c:v>
                </c:pt>
                <c:pt idx="2">
                  <c:v>11030.331538461549</c:v>
                </c:pt>
                <c:pt idx="3">
                  <c:v>14119.594135338361</c:v>
                </c:pt>
                <c:pt idx="4">
                  <c:v>17002.77585106383</c:v>
                </c:pt>
                <c:pt idx="5">
                  <c:v>17186.363097345133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7-4B84-8C13-EB318F81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2255"/>
        <c:axId val="96203919"/>
      </c:barChart>
      <c:catAx>
        <c:axId val="9620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203919"/>
        <c:crosses val="autoZero"/>
        <c:auto val="1"/>
        <c:lblAlgn val="ctr"/>
        <c:lblOffset val="100"/>
        <c:noMultiLvlLbl val="0"/>
      </c:catAx>
      <c:valAx>
        <c:axId val="962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20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Average Charges by Smoker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PivotTables!$L$9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B-4000-9F78-6A65EC52F0E0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B-4000-9F78-6A65EC52F0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PivotTables!$K$10:$K$12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PivotTables!$L$10:$L$12</c:f>
              <c:numCache>
                <c:formatCode>General</c:formatCode>
                <c:ptCount val="2"/>
                <c:pt idx="0">
                  <c:v>8434.2682894736845</c:v>
                </c:pt>
                <c:pt idx="1">
                  <c:v>32050.231861313885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3B-4000-9F78-6A65EC52F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PivotTables!$C$28:$C$29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PivotTables!$B$30:$B$40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PivotTables!$C$30:$C$40</c:f>
              <c:numCache>
                <c:formatCode>General</c:formatCode>
                <c:ptCount val="10"/>
                <c:pt idx="0">
                  <c:v>6522.2578787878792</c:v>
                </c:pt>
                <c:pt idx="1">
                  <c:v>9167.571578947367</c:v>
                </c:pt>
                <c:pt idx="2">
                  <c:v>8735.0155223880574</c:v>
                </c:pt>
                <c:pt idx="3">
                  <c:v>10465.90265625</c:v>
                </c:pt>
                <c:pt idx="4">
                  <c:v>11290.400793650795</c:v>
                </c:pt>
                <c:pt idx="5">
                  <c:v>13767.813382352944</c:v>
                </c:pt>
                <c:pt idx="6">
                  <c:v>13842.450972222225</c:v>
                </c:pt>
                <c:pt idx="7">
                  <c:v>16602.618309859154</c:v>
                </c:pt>
                <c:pt idx="8">
                  <c:v>15738.334444444443</c:v>
                </c:pt>
                <c:pt idx="9">
                  <c:v>21089.268510638296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6-404A-820D-9A0890537E1A}"/>
            </c:ext>
          </c:extLst>
        </c:ser>
        <c:ser>
          <c:idx val="1"/>
          <c:order val="1"/>
          <c:tx>
            <c:strRef>
              <c:f>PivotTables!$D$28:$D$29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PivotTables!$B$30:$B$40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PivotTables!$D$30:$D$40</c:f>
              <c:numCache>
                <c:formatCode>General</c:formatCode>
                <c:ptCount val="10"/>
                <c:pt idx="0">
                  <c:v>7603.1813888888883</c:v>
                </c:pt>
                <c:pt idx="1">
                  <c:v>10134.753252032524</c:v>
                </c:pt>
                <c:pt idx="2">
                  <c:v>11361.130704225356</c:v>
                </c:pt>
                <c:pt idx="3">
                  <c:v>11378.782121212122</c:v>
                </c:pt>
                <c:pt idx="4">
                  <c:v>13424.838281249997</c:v>
                </c:pt>
                <c:pt idx="5">
                  <c:v>15298.317391304347</c:v>
                </c:pt>
                <c:pt idx="6">
                  <c:v>16184.755555555552</c:v>
                </c:pt>
                <c:pt idx="7">
                  <c:v>17384.562753623191</c:v>
                </c:pt>
                <c:pt idx="8">
                  <c:v>18575.3514516129</c:v>
                </c:pt>
                <c:pt idx="9">
                  <c:v>21035.278181818176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96-404A-820D-9A0890537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681935"/>
        <c:axId val="1083682351"/>
      </c:barChart>
      <c:catAx>
        <c:axId val="108368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3682351"/>
        <c:crosses val="autoZero"/>
        <c:auto val="1"/>
        <c:lblAlgn val="ctr"/>
        <c:lblOffset val="100"/>
        <c:noMultiLvlLbl val="0"/>
      </c:catAx>
      <c:valAx>
        <c:axId val="10836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368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PivotTables!$C$46:$C$47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PivotTables!$C$48:$C$58</c:f>
              <c:numCache>
                <c:formatCode>General</c:formatCode>
                <c:ptCount val="10"/>
                <c:pt idx="0">
                  <c:v>6935.1325490196105</c:v>
                </c:pt>
                <c:pt idx="1">
                  <c:v>8452.638389261745</c:v>
                </c:pt>
                <c:pt idx="2">
                  <c:v>10091.794791666667</c:v>
                </c:pt>
                <c:pt idx="3">
                  <c:v>10407.901562499997</c:v>
                </c:pt>
                <c:pt idx="4">
                  <c:v>11086.08517241379</c:v>
                </c:pt>
                <c:pt idx="5">
                  <c:v>15668.945277777782</c:v>
                </c:pt>
                <c:pt idx="6">
                  <c:v>15513.822571428573</c:v>
                </c:pt>
                <c:pt idx="7">
                  <c:v>15819.410392156866</c:v>
                </c:pt>
                <c:pt idx="8">
                  <c:v>15903.905975609763</c:v>
                </c:pt>
                <c:pt idx="9">
                  <c:v>18491.8624590164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2-4679-9C30-56E05498EEF2}"/>
            </c:ext>
          </c:extLst>
        </c:ser>
        <c:ser>
          <c:idx val="1"/>
          <c:order val="1"/>
          <c:tx>
            <c:strRef>
              <c:f>PivotTables!$D$46:$D$47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PivotTables!$D$48:$D$58</c:f>
              <c:numCache>
                <c:formatCode>General</c:formatCode>
                <c:ptCount val="10"/>
                <c:pt idx="0">
                  <c:v>4608.3855555555556</c:v>
                </c:pt>
                <c:pt idx="1">
                  <c:v>8681.8215384615396</c:v>
                </c:pt>
                <c:pt idx="2">
                  <c:v>9212.842702702701</c:v>
                </c:pt>
                <c:pt idx="3">
                  <c:v>11326.865869565218</c:v>
                </c:pt>
                <c:pt idx="4">
                  <c:v>13016.340285714285</c:v>
                </c:pt>
                <c:pt idx="5">
                  <c:v>12619.716249999999</c:v>
                </c:pt>
                <c:pt idx="6">
                  <c:v>14175.143461538462</c:v>
                </c:pt>
                <c:pt idx="7">
                  <c:v>13518.522571428572</c:v>
                </c:pt>
                <c:pt idx="8">
                  <c:v>19680.978999999999</c:v>
                </c:pt>
                <c:pt idx="9">
                  <c:v>28971.473636363637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2-4679-9C30-56E05498EEF2}"/>
            </c:ext>
          </c:extLst>
        </c:ser>
        <c:ser>
          <c:idx val="2"/>
          <c:order val="2"/>
          <c:tx>
            <c:strRef>
              <c:f>PivotTables!$E$46:$E$47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PivotTables!$E$48:$E$58</c:f>
              <c:numCache>
                <c:formatCode>General</c:formatCode>
                <c:ptCount val="10"/>
                <c:pt idx="0">
                  <c:v>11252.550000000001</c:v>
                </c:pt>
                <c:pt idx="1">
                  <c:v>17489.689599999998</c:v>
                </c:pt>
                <c:pt idx="2">
                  <c:v>10291.144516129034</c:v>
                </c:pt>
                <c:pt idx="3">
                  <c:v>10597.853214285717</c:v>
                </c:pt>
                <c:pt idx="4">
                  <c:v>13068.533333333336</c:v>
                </c:pt>
                <c:pt idx="5">
                  <c:v>14705.338636363635</c:v>
                </c:pt>
                <c:pt idx="6">
                  <c:v>16061.05857142857</c:v>
                </c:pt>
                <c:pt idx="7">
                  <c:v>20167.944800000001</c:v>
                </c:pt>
                <c:pt idx="8">
                  <c:v>21008.304545454546</c:v>
                </c:pt>
                <c:pt idx="9">
                  <c:v>25981.81111111111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2-4679-9C30-56E05498EEF2}"/>
            </c:ext>
          </c:extLst>
        </c:ser>
        <c:ser>
          <c:idx val="3"/>
          <c:order val="3"/>
          <c:tx>
            <c:strRef>
              <c:f>PivotTables!$F$46:$F$47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PivotTables!$F$48:$F$58</c:f>
              <c:numCache>
                <c:formatCode>General</c:formatCode>
                <c:ptCount val="10"/>
                <c:pt idx="0">
                  <c:v>10852.66</c:v>
                </c:pt>
                <c:pt idx="1">
                  <c:v>12027.164999999999</c:v>
                </c:pt>
                <c:pt idx="2">
                  <c:v>11135.97947368421</c:v>
                </c:pt>
                <c:pt idx="3">
                  <c:v>11268.942222222222</c:v>
                </c:pt>
                <c:pt idx="4">
                  <c:v>11336.040952380954</c:v>
                </c:pt>
                <c:pt idx="5">
                  <c:v>17314.287857142856</c:v>
                </c:pt>
                <c:pt idx="6">
                  <c:v>16430.417619047621</c:v>
                </c:pt>
                <c:pt idx="7">
                  <c:v>21113.750370370366</c:v>
                </c:pt>
                <c:pt idx="8">
                  <c:v>18701.207999999999</c:v>
                </c:pt>
                <c:pt idx="9">
                  <c:v>22182.384444444448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72-4679-9C30-56E05498EEF2}"/>
            </c:ext>
          </c:extLst>
        </c:ser>
        <c:ser>
          <c:idx val="4"/>
          <c:order val="4"/>
          <c:tx>
            <c:strRef>
              <c:f>PivotTables!$G$46:$G$47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PivotTables!$G$48:$G$58</c:f>
              <c:numCache>
                <c:formatCode>General</c:formatCode>
                <c:ptCount val="10"/>
                <c:pt idx="0">
                  <c:v>4561.1899999999996</c:v>
                </c:pt>
                <c:pt idx="1">
                  <c:v>11113.294999999998</c:v>
                </c:pt>
                <c:pt idx="2">
                  <c:v>15190.264999999999</c:v>
                </c:pt>
                <c:pt idx="3">
                  <c:v>15676.123333333335</c:v>
                </c:pt>
                <c:pt idx="4">
                  <c:v>15785.973999999998</c:v>
                </c:pt>
                <c:pt idx="6">
                  <c:v>10911.556666666665</c:v>
                </c:pt>
                <c:pt idx="7">
                  <c:v>11520.1</c:v>
                </c:pt>
                <c:pt idx="8">
                  <c:v>13671.779999999999</c:v>
                </c:pt>
                <c:pt idx="9">
                  <c:v>36580.28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72-4679-9C30-56E05498EEF2}"/>
            </c:ext>
          </c:extLst>
        </c:ser>
        <c:ser>
          <c:idx val="5"/>
          <c:order val="5"/>
          <c:tx>
            <c:strRef>
              <c:f>PivotTables!$H$46:$H$47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PivotTables!$B$48:$B$58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PivotTables!$H$48:$H$58</c:f>
              <c:numCache>
                <c:formatCode>General</c:formatCode>
                <c:ptCount val="10"/>
                <c:pt idx="1">
                  <c:v>4878.3975</c:v>
                </c:pt>
                <c:pt idx="2">
                  <c:v>5615.37</c:v>
                </c:pt>
                <c:pt idx="3">
                  <c:v>6706.4966666666669</c:v>
                </c:pt>
                <c:pt idx="4">
                  <c:v>11292.047500000001</c:v>
                </c:pt>
                <c:pt idx="5">
                  <c:v>11163.199999999999</c:v>
                </c:pt>
                <c:pt idx="6">
                  <c:v>10824.934999999999</c:v>
                </c:pt>
                <c:pt idx="7">
                  <c:v>12592.53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72-4679-9C30-56E05498E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3683599"/>
        <c:axId val="1083680271"/>
      </c:barChart>
      <c:catAx>
        <c:axId val="108368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3680271"/>
        <c:crosses val="autoZero"/>
        <c:auto val="1"/>
        <c:lblAlgn val="ctr"/>
        <c:lblOffset val="100"/>
        <c:noMultiLvlLbl val="0"/>
      </c:catAx>
      <c:valAx>
        <c:axId val="108368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36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PivotTables!$L$29:$L$30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PivotTables!$K$31:$K$41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PivotTables!$L$31:$L$41</c:f>
              <c:numCache>
                <c:formatCode>General</c:formatCode>
                <c:ptCount val="10"/>
                <c:pt idx="0">
                  <c:v>3215.1626315789463</c:v>
                </c:pt>
                <c:pt idx="1">
                  <c:v>4248.2683695652149</c:v>
                </c:pt>
                <c:pt idx="2">
                  <c:v>5485.1854629629624</c:v>
                </c:pt>
                <c:pt idx="3">
                  <c:v>6120.4907692307697</c:v>
                </c:pt>
                <c:pt idx="4">
                  <c:v>7167.3873737373715</c:v>
                </c:pt>
                <c:pt idx="5">
                  <c:v>8446.8443269230793</c:v>
                </c:pt>
                <c:pt idx="6">
                  <c:v>10675.693017241372</c:v>
                </c:pt>
                <c:pt idx="7">
                  <c:v>12709.88206896552</c:v>
                </c:pt>
                <c:pt idx="8">
                  <c:v>13262.790000000003</c:v>
                </c:pt>
                <c:pt idx="9">
                  <c:v>15366.613623188407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D-4EE5-B89B-97D9E4F24E44}"/>
            </c:ext>
          </c:extLst>
        </c:ser>
        <c:ser>
          <c:idx val="1"/>
          <c:order val="1"/>
          <c:tx>
            <c:strRef>
              <c:f>PivotTables!$M$29:$M$30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PivotTables!$K$31:$K$41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PivotTables!$M$31:$M$41</c:f>
              <c:numCache>
                <c:formatCode>General</c:formatCode>
                <c:ptCount val="10"/>
                <c:pt idx="0">
                  <c:v>25473.730833333335</c:v>
                </c:pt>
                <c:pt idx="1">
                  <c:v>28490.49867924528</c:v>
                </c:pt>
                <c:pt idx="2">
                  <c:v>26649.543000000001</c:v>
                </c:pt>
                <c:pt idx="3">
                  <c:v>30164.859615384616</c:v>
                </c:pt>
                <c:pt idx="4">
                  <c:v>30746.912500000002</c:v>
                </c:pt>
                <c:pt idx="5">
                  <c:v>33737.072727272724</c:v>
                </c:pt>
                <c:pt idx="6">
                  <c:v>32984.945714285714</c:v>
                </c:pt>
                <c:pt idx="7">
                  <c:v>37665.600416666668</c:v>
                </c:pt>
                <c:pt idx="8">
                  <c:v>40226.018333333333</c:v>
                </c:pt>
                <c:pt idx="9">
                  <c:v>38929.614545454548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D-4EE5-B89B-97D9E4F24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077919"/>
        <c:axId val="1078078751"/>
      </c:barChart>
      <c:catAx>
        <c:axId val="107807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8078751"/>
        <c:crosses val="autoZero"/>
        <c:auto val="1"/>
        <c:lblAlgn val="ctr"/>
        <c:lblOffset val="100"/>
        <c:noMultiLvlLbl val="0"/>
      </c:catAx>
      <c:valAx>
        <c:axId val="107807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807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PivotTables!$L$46:$L$47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PivotTables!$K$48:$K$58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PivotTables!$L$48:$L$58</c:f>
              <c:numCache>
                <c:formatCode>General</c:formatCode>
                <c:ptCount val="10"/>
                <c:pt idx="0">
                  <c:v>7558.7331249999988</c:v>
                </c:pt>
                <c:pt idx="1">
                  <c:v>10444.289024390244</c:v>
                </c:pt>
                <c:pt idx="2">
                  <c:v>8304.0202941176485</c:v>
                </c:pt>
                <c:pt idx="3">
                  <c:v>13823.081666666665</c:v>
                </c:pt>
                <c:pt idx="4">
                  <c:v>13620.437187499998</c:v>
                </c:pt>
                <c:pt idx="5">
                  <c:v>15275.71875</c:v>
                </c:pt>
                <c:pt idx="6">
                  <c:v>14564.781944444445</c:v>
                </c:pt>
                <c:pt idx="7">
                  <c:v>18015.574411764705</c:v>
                </c:pt>
                <c:pt idx="8">
                  <c:v>15793.797499999999</c:v>
                </c:pt>
                <c:pt idx="9">
                  <c:v>19504.950476190475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D-41D5-8705-8C3572FFD53E}"/>
            </c:ext>
          </c:extLst>
        </c:ser>
        <c:ser>
          <c:idx val="1"/>
          <c:order val="1"/>
          <c:tx>
            <c:strRef>
              <c:f>PivotTables!$M$46:$M$47</c:f>
              <c:strCache>
                <c:ptCount val="1"/>
                <c:pt idx="0">
                  <c:v>northwest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PivotTables!$K$48:$K$58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PivotTables!$M$48:$M$58</c:f>
              <c:numCache>
                <c:formatCode>General</c:formatCode>
                <c:ptCount val="10"/>
                <c:pt idx="1">
                  <c:v>8245.0947368421039</c:v>
                </c:pt>
                <c:pt idx="2">
                  <c:v>8082.0962500000014</c:v>
                </c:pt>
                <c:pt idx="3">
                  <c:v>12789.542187499999</c:v>
                </c:pt>
                <c:pt idx="4">
                  <c:v>8244.6024999999991</c:v>
                </c:pt>
                <c:pt idx="5">
                  <c:v>13895.17375</c:v>
                </c:pt>
                <c:pt idx="6">
                  <c:v>14332.519411764704</c:v>
                </c:pt>
                <c:pt idx="7">
                  <c:v>16693.664117647058</c:v>
                </c:pt>
                <c:pt idx="8">
                  <c:v>18047.593999999997</c:v>
                </c:pt>
                <c:pt idx="9">
                  <c:v>18973.973913043479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D-41D5-8705-8C3572FFD53E}"/>
            </c:ext>
          </c:extLst>
        </c:ser>
        <c:ser>
          <c:idx val="2"/>
          <c:order val="2"/>
          <c:tx>
            <c:strRef>
              <c:f>PivotTables!$N$46:$N$47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PivotTables!$K$48:$K$58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PivotTables!$N$48:$N$58</c:f>
              <c:numCache>
                <c:formatCode>General</c:formatCode>
                <c:ptCount val="10"/>
                <c:pt idx="0">
                  <c:v>6677.5562162162159</c:v>
                </c:pt>
                <c:pt idx="1">
                  <c:v>13385.905106382974</c:v>
                </c:pt>
                <c:pt idx="2">
                  <c:v>11405.548974358973</c:v>
                </c:pt>
                <c:pt idx="3">
                  <c:v>7915.3802857142855</c:v>
                </c:pt>
                <c:pt idx="4">
                  <c:v>13116.183235294115</c:v>
                </c:pt>
                <c:pt idx="5">
                  <c:v>18388.747179487178</c:v>
                </c:pt>
                <c:pt idx="6">
                  <c:v>15783.496923076929</c:v>
                </c:pt>
                <c:pt idx="7">
                  <c:v>21162.242162162165</c:v>
                </c:pt>
                <c:pt idx="8">
                  <c:v>19315.945</c:v>
                </c:pt>
                <c:pt idx="9">
                  <c:v>23433.8796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D-41D5-8705-8C3572FFD53E}"/>
            </c:ext>
          </c:extLst>
        </c:ser>
        <c:ser>
          <c:idx val="3"/>
          <c:order val="3"/>
          <c:tx>
            <c:strRef>
              <c:f>PivotTables!$O$46:$O$47</c:f>
              <c:strCache>
                <c:ptCount val="1"/>
                <c:pt idx="0">
                  <c:v>southwest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PivotTables!$K$48:$K$58</c:f>
              <c:strCache>
                <c:ptCount val="10"/>
                <c:pt idx="0">
                  <c:v>0 - 18</c:v>
                </c:pt>
                <c:pt idx="1">
                  <c:v>19 - 25</c:v>
                </c:pt>
                <c:pt idx="2">
                  <c:v>26 - 30</c:v>
                </c:pt>
                <c:pt idx="3">
                  <c:v>31 - 35</c:v>
                </c:pt>
                <c:pt idx="4">
                  <c:v>36 - 40</c:v>
                </c:pt>
                <c:pt idx="5">
                  <c:v>41 - 45</c:v>
                </c:pt>
                <c:pt idx="6">
                  <c:v>46 - 50</c:v>
                </c:pt>
                <c:pt idx="7">
                  <c:v>51 - 55</c:v>
                </c:pt>
                <c:pt idx="8">
                  <c:v>56 - 60</c:v>
                </c:pt>
                <c:pt idx="9">
                  <c:v>61 - 65</c:v>
                </c:pt>
              </c:strCache>
            </c:strRef>
          </c:cat>
          <c:val>
            <c:numRef>
              <c:f>PivotTables!$O$48:$O$58</c:f>
              <c:numCache>
                <c:formatCode>General</c:formatCode>
                <c:ptCount val="10"/>
                <c:pt idx="1">
                  <c:v>8324.6194520547942</c:v>
                </c:pt>
                <c:pt idx="2">
                  <c:v>12306.246666666668</c:v>
                </c:pt>
                <c:pt idx="3">
                  <c:v>9691.5539393939398</c:v>
                </c:pt>
                <c:pt idx="4">
                  <c:v>14650.117241379312</c:v>
                </c:pt>
                <c:pt idx="5">
                  <c:v>10034.279705882354</c:v>
                </c:pt>
                <c:pt idx="6">
                  <c:v>15278.990857142855</c:v>
                </c:pt>
                <c:pt idx="7">
                  <c:v>11862.961714285715</c:v>
                </c:pt>
                <c:pt idx="8">
                  <c:v>15427.33161290323</c:v>
                </c:pt>
                <c:pt idx="9">
                  <c:v>22040.704999999998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D-41D5-8705-8C3572FF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885104"/>
        <c:axId val="358884688"/>
      </c:barChart>
      <c:catAx>
        <c:axId val="35888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8884688"/>
        <c:crosses val="autoZero"/>
        <c:auto val="1"/>
        <c:lblAlgn val="ctr"/>
        <c:lblOffset val="100"/>
        <c:noMultiLvlLbl val="0"/>
      </c:catAx>
      <c:valAx>
        <c:axId val="3588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888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PivotTables!$C$65:$C$66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PivotTables!$B$67:$B$73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PivotTables!$C$67:$C$73</c:f>
              <c:numCache>
                <c:formatCode>General</c:formatCode>
                <c:ptCount val="6"/>
                <c:pt idx="0">
                  <c:v>11012.530833333332</c:v>
                </c:pt>
                <c:pt idx="1">
                  <c:v>10933.946120689654</c:v>
                </c:pt>
                <c:pt idx="2">
                  <c:v>10677.757015706808</c:v>
                </c:pt>
                <c:pt idx="3">
                  <c:v>13135.750773195885</c:v>
                </c:pt>
                <c:pt idx="4">
                  <c:v>15231.916097560972</c:v>
                </c:pt>
                <c:pt idx="5">
                  <c:v>15817.381296296291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4E51-96EA-A20E53F9DB14}"/>
            </c:ext>
          </c:extLst>
        </c:ser>
        <c:ser>
          <c:idx val="1"/>
          <c:order val="1"/>
          <c:tx>
            <c:strRef>
              <c:f>PivotTables!$D$65:$D$66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PivotTables!$B$67:$B$73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PivotTables!$D$67:$D$73</c:f>
              <c:numCache>
                <c:formatCode>General</c:formatCode>
                <c:ptCount val="6"/>
                <c:pt idx="0">
                  <c:v>5611.7062500000002</c:v>
                </c:pt>
                <c:pt idx="1">
                  <c:v>9772.7469811320716</c:v>
                </c:pt>
                <c:pt idx="2">
                  <c:v>11392.383870967737</c:v>
                </c:pt>
                <c:pt idx="3">
                  <c:v>15050.645902439011</c:v>
                </c:pt>
                <c:pt idx="4">
                  <c:v>18372.686226415102</c:v>
                </c:pt>
                <c:pt idx="5">
                  <c:v>18439.329491525426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7-4E51-96EA-A20E53F9D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585760"/>
        <c:axId val="417579520"/>
      </c:barChart>
      <c:catAx>
        <c:axId val="4175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17579520"/>
        <c:crosses val="autoZero"/>
        <c:auto val="1"/>
        <c:lblAlgn val="ctr"/>
        <c:lblOffset val="100"/>
        <c:noMultiLvlLbl val="0"/>
      </c:catAx>
      <c:valAx>
        <c:axId val="4175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175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PivotTables!$L$65:$L$66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PivotTables!$K$67:$K$73</c:f>
              <c:strCache>
                <c:ptCount val="6"/>
                <c:pt idx="0">
                  <c:v>Normal</c:v>
                </c:pt>
                <c:pt idx="1">
                  <c:v>Obese I</c:v>
                </c:pt>
                <c:pt idx="2">
                  <c:v>Obese II</c:v>
                </c:pt>
                <c:pt idx="3">
                  <c:v>Obese III</c:v>
                </c:pt>
                <c:pt idx="4">
                  <c:v>Overweight</c:v>
                </c:pt>
                <c:pt idx="5">
                  <c:v>Underweight</c:v>
                </c:pt>
              </c:strCache>
            </c:strRef>
          </c:cat>
          <c:val>
            <c:numRef>
              <c:f>PivotTables!$L$67:$L$73</c:f>
              <c:numCache>
                <c:formatCode>General</c:formatCode>
                <c:ptCount val="6"/>
                <c:pt idx="0">
                  <c:v>7599.6381976744169</c:v>
                </c:pt>
                <c:pt idx="1">
                  <c:v>8489.0000306748461</c:v>
                </c:pt>
                <c:pt idx="2">
                  <c:v>9621.300057471266</c:v>
                </c:pt>
                <c:pt idx="3">
                  <c:v>8267.5561111111074</c:v>
                </c:pt>
                <c:pt idx="4">
                  <c:v>8351.2935737704956</c:v>
                </c:pt>
                <c:pt idx="5">
                  <c:v>5532.992666666667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9-41ED-BFEE-83B9416FEA3F}"/>
            </c:ext>
          </c:extLst>
        </c:ser>
        <c:ser>
          <c:idx val="1"/>
          <c:order val="1"/>
          <c:tx>
            <c:strRef>
              <c:f>PivotTables!$M$65:$M$66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PivotTables!$K$67:$K$73</c:f>
              <c:strCache>
                <c:ptCount val="6"/>
                <c:pt idx="0">
                  <c:v>Normal</c:v>
                </c:pt>
                <c:pt idx="1">
                  <c:v>Obese I</c:v>
                </c:pt>
                <c:pt idx="2">
                  <c:v>Obese II</c:v>
                </c:pt>
                <c:pt idx="3">
                  <c:v>Obese III</c:v>
                </c:pt>
                <c:pt idx="4">
                  <c:v>Overweight</c:v>
                </c:pt>
                <c:pt idx="5">
                  <c:v>Underweight</c:v>
                </c:pt>
              </c:strCache>
            </c:strRef>
          </c:cat>
          <c:val>
            <c:numRef>
              <c:f>PivotTables!$M$67:$M$73</c:f>
              <c:numCache>
                <c:formatCode>General</c:formatCode>
                <c:ptCount val="6"/>
                <c:pt idx="0">
                  <c:v>19942.223200000004</c:v>
                </c:pt>
                <c:pt idx="1">
                  <c:v>39264.43904109588</c:v>
                </c:pt>
                <c:pt idx="2">
                  <c:v>42500.227884615371</c:v>
                </c:pt>
                <c:pt idx="3">
                  <c:v>45590.767727272731</c:v>
                </c:pt>
                <c:pt idx="4">
                  <c:v>22379.03402777778</c:v>
                </c:pt>
                <c:pt idx="5">
                  <c:v>18809.825999999997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9-41ED-BFEE-83B9416FE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890512"/>
        <c:axId val="358897168"/>
      </c:barChart>
      <c:catAx>
        <c:axId val="3588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8897168"/>
        <c:crosses val="autoZero"/>
        <c:auto val="1"/>
        <c:lblAlgn val="ctr"/>
        <c:lblOffset val="100"/>
        <c:noMultiLvlLbl val="0"/>
      </c:catAx>
      <c:valAx>
        <c:axId val="3588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889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PivotTables!$C$78:$C$79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PivotTables!$C$80:$C$86</c:f>
              <c:numCache>
                <c:formatCode>General</c:formatCode>
                <c:ptCount val="6"/>
                <c:pt idx="0">
                  <c:v>6203.5499999999993</c:v>
                </c:pt>
                <c:pt idx="1">
                  <c:v>9907.9722680412342</c:v>
                </c:pt>
                <c:pt idx="2">
                  <c:v>10314.582222222225</c:v>
                </c:pt>
                <c:pt idx="3">
                  <c:v>13964.532275449103</c:v>
                </c:pt>
                <c:pt idx="4">
                  <c:v>15191.016904761904</c:v>
                </c:pt>
                <c:pt idx="5">
                  <c:v>14846.420824742274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6-43BE-8ED2-01767D77C6BE}"/>
            </c:ext>
          </c:extLst>
        </c:ser>
        <c:ser>
          <c:idx val="1"/>
          <c:order val="1"/>
          <c:tx>
            <c:strRef>
              <c:f>PivotTables!$D$78:$D$79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PivotTables!$D$80:$D$86</c:f>
              <c:numCache>
                <c:formatCode>General</c:formatCode>
                <c:ptCount val="6"/>
                <c:pt idx="0">
                  <c:v>3411.105</c:v>
                </c:pt>
                <c:pt idx="1">
                  <c:v>10482.920208333333</c:v>
                </c:pt>
                <c:pt idx="2">
                  <c:v>10848.394</c:v>
                </c:pt>
                <c:pt idx="3">
                  <c:v>12086.217065217392</c:v>
                </c:pt>
                <c:pt idx="4">
                  <c:v>15831.325500000001</c:v>
                </c:pt>
                <c:pt idx="5">
                  <c:v>18917.003272727277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6-43BE-8ED2-01767D77C6BE}"/>
            </c:ext>
          </c:extLst>
        </c:ser>
        <c:ser>
          <c:idx val="2"/>
          <c:order val="2"/>
          <c:tx>
            <c:strRef>
              <c:f>PivotTables!$E$78:$E$79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PivotTables!$E$80:$E$86</c:f>
              <c:numCache>
                <c:formatCode>General</c:formatCode>
                <c:ptCount val="6"/>
                <c:pt idx="0">
                  <c:v>14757.398333333331</c:v>
                </c:pt>
                <c:pt idx="1">
                  <c:v>10863.956428571428</c:v>
                </c:pt>
                <c:pt idx="2">
                  <c:v>11478.9237037037</c:v>
                </c:pt>
                <c:pt idx="3">
                  <c:v>15748.54635135135</c:v>
                </c:pt>
                <c:pt idx="4">
                  <c:v>21832.797777777774</c:v>
                </c:pt>
                <c:pt idx="5">
                  <c:v>19447.393260869561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6-43BE-8ED2-01767D77C6BE}"/>
            </c:ext>
          </c:extLst>
        </c:ser>
        <c:ser>
          <c:idx val="3"/>
          <c:order val="3"/>
          <c:tx>
            <c:strRef>
              <c:f>PivotTables!$F$78:$F$79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PivotTables!$F$80:$F$86</c:f>
              <c:numCache>
                <c:formatCode>General</c:formatCode>
                <c:ptCount val="6"/>
                <c:pt idx="1">
                  <c:v>11522.646206896554</c:v>
                </c:pt>
                <c:pt idx="2">
                  <c:v>13746.426410256414</c:v>
                </c:pt>
                <c:pt idx="3">
                  <c:v>15874.632592592601</c:v>
                </c:pt>
                <c:pt idx="4">
                  <c:v>20935.170999999995</c:v>
                </c:pt>
                <c:pt idx="5">
                  <c:v>18957.429999999997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6-43BE-8ED2-01767D77C6BE}"/>
            </c:ext>
          </c:extLst>
        </c:ser>
        <c:ser>
          <c:idx val="4"/>
          <c:order val="4"/>
          <c:tx>
            <c:strRef>
              <c:f>PivotTables!$G$78:$G$79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PivotTables!$G$80:$G$86</c:f>
              <c:numCache>
                <c:formatCode>General</c:formatCode>
                <c:ptCount val="6"/>
                <c:pt idx="1">
                  <c:v>11520.1</c:v>
                </c:pt>
                <c:pt idx="2">
                  <c:v>12261.152499999998</c:v>
                </c:pt>
                <c:pt idx="3">
                  <c:v>16921.00375</c:v>
                </c:pt>
                <c:pt idx="4">
                  <c:v>11005.434999999999</c:v>
                </c:pt>
                <c:pt idx="5">
                  <c:v>15116.795000000002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86-43BE-8ED2-01767D77C6BE}"/>
            </c:ext>
          </c:extLst>
        </c:ser>
        <c:ser>
          <c:idx val="5"/>
          <c:order val="5"/>
          <c:tx>
            <c:strRef>
              <c:f>PivotTables!$H$78:$H$79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PivotTables!$B$80:$B$86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PivotTables!$H$80:$H$86</c:f>
              <c:numCache>
                <c:formatCode>General</c:formatCode>
                <c:ptCount val="6"/>
                <c:pt idx="0">
                  <c:v>19023.259999999998</c:v>
                </c:pt>
                <c:pt idx="1">
                  <c:v>7606.4880000000003</c:v>
                </c:pt>
                <c:pt idx="2">
                  <c:v>9056.9920000000002</c:v>
                </c:pt>
                <c:pt idx="3">
                  <c:v>7929.6449999999995</c:v>
                </c:pt>
                <c:pt idx="4">
                  <c:v>9629.3850000000002</c:v>
                </c:pt>
                <c:pt idx="5">
                  <c:v>4830.63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86-43BE-8ED2-01767D77C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3957695"/>
        <c:axId val="1333953119"/>
      </c:barChart>
      <c:catAx>
        <c:axId val="13339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33953119"/>
        <c:crosses val="autoZero"/>
        <c:auto val="1"/>
        <c:lblAlgn val="ctr"/>
        <c:lblOffset val="100"/>
        <c:noMultiLvlLbl val="0"/>
      </c:catAx>
      <c:valAx>
        <c:axId val="133395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339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[excel_dashboard.xlsx]PivotTables!PivotTable18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PivotTables!$L$78:$L$79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PivotTables!$K$80:$K$86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PivotTables!$L$80:$L$86</c:f>
              <c:numCache>
                <c:formatCode>General</c:formatCode>
                <c:ptCount val="6"/>
                <c:pt idx="0">
                  <c:v>8914.4249999999993</c:v>
                </c:pt>
                <c:pt idx="1">
                  <c:v>11151.781666666662</c:v>
                </c:pt>
                <c:pt idx="2">
                  <c:v>10818.593571428573</c:v>
                </c:pt>
                <c:pt idx="3">
                  <c:v>15505.288876404495</c:v>
                </c:pt>
                <c:pt idx="4">
                  <c:v>15522.108125000002</c:v>
                </c:pt>
                <c:pt idx="5">
                  <c:v>19565.370769230769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6-4BAB-A348-D44EDB3FCD48}"/>
            </c:ext>
          </c:extLst>
        </c:ser>
        <c:ser>
          <c:idx val="1"/>
          <c:order val="1"/>
          <c:tx>
            <c:strRef>
              <c:f>PivotTables!$M$78:$M$79</c:f>
              <c:strCache>
                <c:ptCount val="1"/>
                <c:pt idx="0">
                  <c:v>northwest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PivotTables!$K$80:$K$86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PivotTables!$M$80:$M$86</c:f>
              <c:numCache>
                <c:formatCode>General</c:formatCode>
                <c:ptCount val="6"/>
                <c:pt idx="0">
                  <c:v>9223.3514285714282</c:v>
                </c:pt>
                <c:pt idx="1">
                  <c:v>10032.506451612902</c:v>
                </c:pt>
                <c:pt idx="2">
                  <c:v>11503.928490566035</c:v>
                </c:pt>
                <c:pt idx="3">
                  <c:v>13281.283396226419</c:v>
                </c:pt>
                <c:pt idx="4">
                  <c:v>15679.578749999999</c:v>
                </c:pt>
                <c:pt idx="5">
                  <c:v>16568.443888888884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6-4BAB-A348-D44EDB3FCD48}"/>
            </c:ext>
          </c:extLst>
        </c:ser>
        <c:ser>
          <c:idx val="2"/>
          <c:order val="2"/>
          <c:tx>
            <c:strRef>
              <c:f>PivotTables!$N$78:$N$79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PivotTables!$K$80:$K$86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PivotTables!$N$80:$N$86</c:f>
              <c:numCache>
                <c:formatCode>General</c:formatCode>
                <c:ptCount val="6"/>
                <c:pt idx="1">
                  <c:v>13286.808249999998</c:v>
                </c:pt>
                <c:pt idx="2">
                  <c:v>10846.20213333333</c:v>
                </c:pt>
                <c:pt idx="3">
                  <c:v>13700.589500000004</c:v>
                </c:pt>
                <c:pt idx="4">
                  <c:v>18488.602321428574</c:v>
                </c:pt>
                <c:pt idx="5">
                  <c:v>17347.651720430105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6-4BAB-A348-D44EDB3FCD48}"/>
            </c:ext>
          </c:extLst>
        </c:ser>
        <c:ser>
          <c:idx val="3"/>
          <c:order val="3"/>
          <c:tx>
            <c:strRef>
              <c:f>PivotTables!$O$78:$O$79</c:f>
              <c:strCache>
                <c:ptCount val="1"/>
                <c:pt idx="0">
                  <c:v>southwest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PivotTables!$K$80:$K$86</c:f>
              <c:strCache>
                <c:ptCount val="6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 I</c:v>
                </c:pt>
                <c:pt idx="4">
                  <c:v>Obese III</c:v>
                </c:pt>
                <c:pt idx="5">
                  <c:v>Obese II</c:v>
                </c:pt>
              </c:strCache>
            </c:strRef>
          </c:cat>
          <c:val>
            <c:numRef>
              <c:f>PivotTables!$O$80:$O$86</c:f>
              <c:numCache>
                <c:formatCode>General</c:formatCode>
                <c:ptCount val="6"/>
                <c:pt idx="0">
                  <c:v>7778.7699999999995</c:v>
                </c:pt>
                <c:pt idx="1">
                  <c:v>7246.5191666666678</c:v>
                </c:pt>
                <c:pt idx="2">
                  <c:v>10870.726938775508</c:v>
                </c:pt>
                <c:pt idx="3">
                  <c:v>14191.080384615392</c:v>
                </c:pt>
                <c:pt idx="4">
                  <c:v>13507.774285714286</c:v>
                </c:pt>
                <c:pt idx="5">
                  <c:v>15711.603620689653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6-4BAB-A348-D44EDB3F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333423"/>
        <c:axId val="757332591"/>
      </c:barChart>
      <c:catAx>
        <c:axId val="7573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57332591"/>
        <c:crosses val="autoZero"/>
        <c:auto val="1"/>
        <c:lblAlgn val="ctr"/>
        <c:lblOffset val="100"/>
        <c:noMultiLvlLbl val="0"/>
      </c:catAx>
      <c:valAx>
        <c:axId val="75733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573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3" Type="http://schemas.openxmlformats.org/officeDocument/2006/relationships/hyperlink" Target="#'BMI Insights'!A1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hyperlink" Target="#'Age Insights'!A1"/><Relationship Id="rId1" Type="http://schemas.openxmlformats.org/officeDocument/2006/relationships/hyperlink" Target="#Overview!A1"/><Relationship Id="rId6" Type="http://schemas.openxmlformats.org/officeDocument/2006/relationships/chart" Target="../charts/chart3.xml"/><Relationship Id="rId11" Type="http://schemas.openxmlformats.org/officeDocument/2006/relationships/image" Target="../media/image5.png"/><Relationship Id="rId5" Type="http://schemas.openxmlformats.org/officeDocument/2006/relationships/chart" Target="../charts/chart2.xml"/><Relationship Id="rId10" Type="http://schemas.openxmlformats.org/officeDocument/2006/relationships/image" Target="../media/image4.png"/><Relationship Id="rId4" Type="http://schemas.openxmlformats.org/officeDocument/2006/relationships/chart" Target="../charts/chart1.xml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hyperlink" Target="#'BMI Insights'!A1"/><Relationship Id="rId7" Type="http://schemas.openxmlformats.org/officeDocument/2006/relationships/chart" Target="../charts/chart7.xml"/><Relationship Id="rId2" Type="http://schemas.openxmlformats.org/officeDocument/2006/relationships/hyperlink" Target="#'Age Insights'!A1"/><Relationship Id="rId1" Type="http://schemas.openxmlformats.org/officeDocument/2006/relationships/hyperlink" Target="#Overview!A1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'BMI Insights'!A1"/><Relationship Id="rId7" Type="http://schemas.openxmlformats.org/officeDocument/2006/relationships/chart" Target="../charts/chart11.xml"/><Relationship Id="rId2" Type="http://schemas.openxmlformats.org/officeDocument/2006/relationships/hyperlink" Target="#Overview!A1"/><Relationship Id="rId1" Type="http://schemas.openxmlformats.org/officeDocument/2006/relationships/hyperlink" Target="#'Age Insights'!A1"/><Relationship Id="rId6" Type="http://schemas.openxmlformats.org/officeDocument/2006/relationships/chart" Target="../charts/chart10.xml"/><Relationship Id="rId11" Type="http://schemas.openxmlformats.org/officeDocument/2006/relationships/image" Target="../media/image1.png"/><Relationship Id="rId5" Type="http://schemas.openxmlformats.org/officeDocument/2006/relationships/chart" Target="../charts/chart9.xml"/><Relationship Id="rId10" Type="http://schemas.openxmlformats.org/officeDocument/2006/relationships/image" Target="../media/image2.png"/><Relationship Id="rId4" Type="http://schemas.openxmlformats.org/officeDocument/2006/relationships/chart" Target="../charts/chart8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95252</xdr:rowOff>
    </xdr:from>
    <xdr:to>
      <xdr:col>23</xdr:col>
      <xdr:colOff>419100</xdr:colOff>
      <xdr:row>3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BEECB00-9518-4D46-8617-24F5933D15D9}"/>
            </a:ext>
          </a:extLst>
        </xdr:cNvPr>
        <xdr:cNvSpPr/>
      </xdr:nvSpPr>
      <xdr:spPr>
        <a:xfrm>
          <a:off x="295275" y="95252"/>
          <a:ext cx="14144625" cy="495298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latin typeface="Sylfaen" panose="010A0502050306030303" pitchFamily="18" charset="0"/>
            </a:rPr>
            <a:t>               </a:t>
          </a:r>
          <a:r>
            <a:rPr lang="en-US" sz="1800" b="1">
              <a:latin typeface="+mn-lt"/>
            </a:rPr>
            <a:t>Insurance Analytics                                                                      </a:t>
          </a:r>
          <a:endParaRPr lang="en-KE" sz="1800" b="1">
            <a:latin typeface="+mn-lt"/>
          </a:endParaRPr>
        </a:p>
      </xdr:txBody>
    </xdr:sp>
    <xdr:clientData/>
  </xdr:twoCellAnchor>
  <xdr:twoCellAnchor>
    <xdr:from>
      <xdr:col>0</xdr:col>
      <xdr:colOff>476251</xdr:colOff>
      <xdr:row>4</xdr:row>
      <xdr:rowOff>57151</xdr:rowOff>
    </xdr:from>
    <xdr:to>
      <xdr:col>4</xdr:col>
      <xdr:colOff>590551</xdr:colOff>
      <xdr:row>8</xdr:row>
      <xdr:rowOff>85725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AA9A62C-1518-47A0-8816-12F52E148AC7}"/>
            </a:ext>
          </a:extLst>
        </xdr:cNvPr>
        <xdr:cNvSpPr/>
      </xdr:nvSpPr>
      <xdr:spPr>
        <a:xfrm>
          <a:off x="476251" y="819151"/>
          <a:ext cx="2552700" cy="790574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bg2">
                  <a:lumMod val="75000"/>
                </a:schemeClr>
              </a:solidFill>
            </a:rPr>
            <a:t>      </a:t>
          </a:r>
          <a:r>
            <a:rPr lang="en-US" sz="1200" b="1">
              <a:solidFill>
                <a:schemeClr val="bg2">
                  <a:lumMod val="75000"/>
                </a:schemeClr>
              </a:solidFill>
            </a:rPr>
            <a:t>Average Insurance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Charge</a:t>
          </a:r>
        </a:p>
        <a:p>
          <a:pPr algn="l"/>
          <a:r>
            <a:rPr lang="en-US" sz="1600" b="1">
              <a:solidFill>
                <a:schemeClr val="bg2">
                  <a:lumMod val="75000"/>
                </a:schemeClr>
              </a:solidFill>
            </a:rPr>
            <a:t>        </a:t>
          </a:r>
          <a:r>
            <a:rPr lang="en-US" sz="2000" b="1" i="0" u="none" strike="noStrike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KE" sz="2000" b="1" i="0" u="none" strike="noStrike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13,270.42 </a:t>
          </a:r>
          <a:endParaRPr lang="en-KE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171449</xdr:colOff>
      <xdr:row>4</xdr:row>
      <xdr:rowOff>47625</xdr:rowOff>
    </xdr:from>
    <xdr:to>
      <xdr:col>10</xdr:col>
      <xdr:colOff>438150</xdr:colOff>
      <xdr:row>8</xdr:row>
      <xdr:rowOff>85725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B049D80-9576-4102-B604-F53C633D3F30}"/>
            </a:ext>
          </a:extLst>
        </xdr:cNvPr>
        <xdr:cNvSpPr/>
      </xdr:nvSpPr>
      <xdr:spPr>
        <a:xfrm>
          <a:off x="3829049" y="809625"/>
          <a:ext cx="2705101" cy="800100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baseline="0">
              <a:solidFill>
                <a:schemeClr val="bg2">
                  <a:lumMod val="75000"/>
                </a:schemeClr>
              </a:solidFill>
              <a:latin typeface="+mn-lt"/>
            </a:rPr>
            <a:t>     </a:t>
          </a:r>
          <a:r>
            <a:rPr lang="en-US" sz="1200" b="1">
              <a:solidFill>
                <a:schemeClr val="bg2">
                  <a:lumMod val="75000"/>
                </a:schemeClr>
              </a:solidFill>
              <a:latin typeface="+mn-lt"/>
            </a:rPr>
            <a:t>Core Age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  <a:latin typeface="+mn-lt"/>
            </a:rPr>
            <a:t> Bracket</a:t>
          </a:r>
          <a:endParaRPr lang="en-US" sz="12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n-KE" sz="2000" b="1" i="0" u="none" strike="noStrike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19 - 25</a:t>
          </a:r>
          <a:r>
            <a:rPr lang="en-KE" sz="2000" b="1">
              <a:solidFill>
                <a:srgbClr val="00B050"/>
              </a:solidFill>
            </a:rPr>
            <a:t> </a:t>
          </a:r>
          <a:endParaRPr lang="en-KE" sz="2000" b="1">
            <a:solidFill>
              <a:srgbClr val="00B050"/>
            </a:solidFill>
            <a:latin typeface="+mn-lt"/>
          </a:endParaRPr>
        </a:p>
      </xdr:txBody>
    </xdr:sp>
    <xdr:clientData/>
  </xdr:twoCellAnchor>
  <xdr:twoCellAnchor>
    <xdr:from>
      <xdr:col>12</xdr:col>
      <xdr:colOff>76200</xdr:colOff>
      <xdr:row>4</xdr:row>
      <xdr:rowOff>66676</xdr:rowOff>
    </xdr:from>
    <xdr:to>
      <xdr:col>16</xdr:col>
      <xdr:colOff>428625</xdr:colOff>
      <xdr:row>8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1624240-B1F7-4B28-B2D8-D5C8D6D65397}"/>
            </a:ext>
          </a:extLst>
        </xdr:cNvPr>
        <xdr:cNvSpPr/>
      </xdr:nvSpPr>
      <xdr:spPr>
        <a:xfrm>
          <a:off x="7391400" y="828676"/>
          <a:ext cx="2790825" cy="828674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bg2">
                  <a:lumMod val="75000"/>
                </a:schemeClr>
              </a:solidFill>
            </a:rPr>
            <a:t>             </a:t>
          </a:r>
          <a:r>
            <a:rPr lang="en-US" sz="1200" b="1">
              <a:solidFill>
                <a:schemeClr val="bg2">
                  <a:lumMod val="75000"/>
                </a:schemeClr>
              </a:solidFill>
            </a:rPr>
            <a:t>Core BMI Bracket</a:t>
          </a:r>
          <a:endParaRPr lang="en-US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</a:t>
          </a:r>
          <a:r>
            <a:rPr lang="en-US" sz="2000" b="1" i="0" u="none" strike="noStrike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Obese I</a:t>
          </a:r>
          <a:r>
            <a:rPr lang="en-US" sz="1800" b="1">
              <a:solidFill>
                <a:schemeClr val="accent1">
                  <a:lumMod val="60000"/>
                  <a:lumOff val="40000"/>
                </a:schemeClr>
              </a:solidFill>
            </a:rPr>
            <a:t> </a:t>
          </a:r>
          <a:endParaRPr lang="en-KE" sz="18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18</xdr:col>
      <xdr:colOff>95250</xdr:colOff>
      <xdr:row>4</xdr:row>
      <xdr:rowOff>57150</xdr:rowOff>
    </xdr:from>
    <xdr:to>
      <xdr:col>22</xdr:col>
      <xdr:colOff>523875</xdr:colOff>
      <xdr:row>8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FF63BD7-45B4-410B-BD4A-24F03F0214BA}"/>
            </a:ext>
          </a:extLst>
        </xdr:cNvPr>
        <xdr:cNvSpPr/>
      </xdr:nvSpPr>
      <xdr:spPr>
        <a:xfrm>
          <a:off x="11068050" y="819150"/>
          <a:ext cx="2867025" cy="847725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bg2">
                  <a:lumMod val="75000"/>
                </a:schemeClr>
              </a:solidFill>
            </a:rPr>
            <a:t>           </a:t>
          </a:r>
          <a:r>
            <a:rPr lang="en-US" sz="1200" b="1">
              <a:solidFill>
                <a:schemeClr val="bg2">
                  <a:lumMod val="75000"/>
                </a:schemeClr>
              </a:solidFill>
            </a:rPr>
            <a:t>Avg Number of Dependants</a:t>
          </a:r>
        </a:p>
        <a:p>
          <a:pPr algn="l"/>
          <a:r>
            <a:rPr lang="en-US" sz="1100" b="1">
              <a:solidFill>
                <a:schemeClr val="bg2">
                  <a:lumMod val="75000"/>
                </a:schemeClr>
              </a:solidFill>
            </a:rPr>
            <a:t>                    </a:t>
          </a:r>
          <a:r>
            <a:rPr lang="en-KE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KE" sz="2400" b="1" i="0" u="none" strike="noStrike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</a:t>
          </a:r>
          <a:endParaRPr lang="en-KE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371476</xdr:colOff>
      <xdr:row>9</xdr:row>
      <xdr:rowOff>152401</xdr:rowOff>
    </xdr:from>
    <xdr:to>
      <xdr:col>8</xdr:col>
      <xdr:colOff>95250</xdr:colOff>
      <xdr:row>27</xdr:row>
      <xdr:rowOff>57151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235A2D7-4205-4667-9D44-87C27EC336FA}"/>
            </a:ext>
          </a:extLst>
        </xdr:cNvPr>
        <xdr:cNvSpPr/>
      </xdr:nvSpPr>
      <xdr:spPr>
        <a:xfrm>
          <a:off x="371476" y="1866901"/>
          <a:ext cx="4600574" cy="333375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8</xdr:col>
      <xdr:colOff>381000</xdr:colOff>
      <xdr:row>9</xdr:row>
      <xdr:rowOff>142876</xdr:rowOff>
    </xdr:from>
    <xdr:to>
      <xdr:col>15</xdr:col>
      <xdr:colOff>590550</xdr:colOff>
      <xdr:row>27</xdr:row>
      <xdr:rowOff>28576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7BABDD3-59A2-428C-93E5-9B71B1B83D97}"/>
            </a:ext>
          </a:extLst>
        </xdr:cNvPr>
        <xdr:cNvSpPr/>
      </xdr:nvSpPr>
      <xdr:spPr>
        <a:xfrm>
          <a:off x="5257800" y="1857376"/>
          <a:ext cx="4476750" cy="33147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16</xdr:col>
      <xdr:colOff>285750</xdr:colOff>
      <xdr:row>9</xdr:row>
      <xdr:rowOff>142876</xdr:rowOff>
    </xdr:from>
    <xdr:to>
      <xdr:col>23</xdr:col>
      <xdr:colOff>381000</xdr:colOff>
      <xdr:row>27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8F609-2301-4D30-87E2-EFC20C11CE25}"/>
            </a:ext>
          </a:extLst>
        </xdr:cNvPr>
        <xdr:cNvSpPr/>
      </xdr:nvSpPr>
      <xdr:spPr>
        <a:xfrm>
          <a:off x="10039350" y="1857376"/>
          <a:ext cx="4362450" cy="3324224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14</xdr:col>
      <xdr:colOff>57151</xdr:colOff>
      <xdr:row>0</xdr:row>
      <xdr:rowOff>171450</xdr:rowOff>
    </xdr:from>
    <xdr:to>
      <xdr:col>16</xdr:col>
      <xdr:colOff>228600</xdr:colOff>
      <xdr:row>2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1FAF9-8DA5-4D13-9819-591DDD13765E}"/>
            </a:ext>
          </a:extLst>
        </xdr:cNvPr>
        <xdr:cNvSpPr/>
      </xdr:nvSpPr>
      <xdr:spPr>
        <a:xfrm>
          <a:off x="8591551" y="171450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>
              <a:latin typeface="+mn-lt"/>
            </a:rPr>
            <a:t>Overview</a:t>
          </a:r>
          <a:endParaRPr lang="en-KE" sz="1100" b="1">
            <a:latin typeface="+mn-lt"/>
          </a:endParaRPr>
        </a:p>
      </xdr:txBody>
    </xdr:sp>
    <xdr:clientData/>
  </xdr:twoCellAnchor>
  <xdr:twoCellAnchor>
    <xdr:from>
      <xdr:col>16</xdr:col>
      <xdr:colOff>476251</xdr:colOff>
      <xdr:row>0</xdr:row>
      <xdr:rowOff>171450</xdr:rowOff>
    </xdr:from>
    <xdr:to>
      <xdr:col>19</xdr:col>
      <xdr:colOff>38100</xdr:colOff>
      <xdr:row>2</xdr:row>
      <xdr:rowOff>114300</xdr:rowOff>
    </xdr:to>
    <xdr:sp macro="" textlink="">
      <xdr:nvSpPr>
        <xdr:cNvPr id="13" name="Rectangle: Rounded Corner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3D7391-5488-4360-A02B-7129B2F154B7}"/>
            </a:ext>
          </a:extLst>
        </xdr:cNvPr>
        <xdr:cNvSpPr/>
      </xdr:nvSpPr>
      <xdr:spPr>
        <a:xfrm>
          <a:off x="10229851" y="171450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</a:t>
          </a:r>
          <a:r>
            <a:rPr lang="en-US" sz="1100" b="1">
              <a:latin typeface="+mn-lt"/>
            </a:rPr>
            <a:t>Age</a:t>
          </a:r>
          <a:r>
            <a:rPr lang="en-US" sz="1100" b="1" baseline="0">
              <a:latin typeface="+mn-lt"/>
            </a:rPr>
            <a:t> Insights</a:t>
          </a:r>
          <a:endParaRPr lang="en-KE" sz="1100" b="1">
            <a:latin typeface="+mn-lt"/>
          </a:endParaRPr>
        </a:p>
      </xdr:txBody>
    </xdr:sp>
    <xdr:clientData/>
  </xdr:twoCellAnchor>
  <xdr:twoCellAnchor>
    <xdr:from>
      <xdr:col>19</xdr:col>
      <xdr:colOff>361951</xdr:colOff>
      <xdr:row>0</xdr:row>
      <xdr:rowOff>161925</xdr:rowOff>
    </xdr:from>
    <xdr:to>
      <xdr:col>21</xdr:col>
      <xdr:colOff>533400</xdr:colOff>
      <xdr:row>2</xdr:row>
      <xdr:rowOff>104775</xdr:rowOff>
    </xdr:to>
    <xdr:sp macro="" textlink="">
      <xdr:nvSpPr>
        <xdr:cNvPr id="15" name="Rectangle: Rounded Corner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AA494A-17F8-48DC-959A-CD7444C59DE5}"/>
            </a:ext>
          </a:extLst>
        </xdr:cNvPr>
        <xdr:cNvSpPr/>
      </xdr:nvSpPr>
      <xdr:spPr>
        <a:xfrm>
          <a:off x="11944351" y="161925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>
              <a:latin typeface="+mn-lt"/>
            </a:rPr>
            <a:t>BMI</a:t>
          </a:r>
          <a:r>
            <a:rPr lang="en-US" sz="1100" b="1" baseline="0">
              <a:latin typeface="+mn-lt"/>
            </a:rPr>
            <a:t> Insights</a:t>
          </a:r>
          <a:endParaRPr lang="en-KE" sz="1100" b="1">
            <a:latin typeface="+mn-lt"/>
          </a:endParaRPr>
        </a:p>
      </xdr:txBody>
    </xdr:sp>
    <xdr:clientData/>
  </xdr:twoCellAnchor>
  <xdr:twoCellAnchor>
    <xdr:from>
      <xdr:col>0</xdr:col>
      <xdr:colOff>371475</xdr:colOff>
      <xdr:row>9</xdr:row>
      <xdr:rowOff>152400</xdr:rowOff>
    </xdr:from>
    <xdr:to>
      <xdr:col>8</xdr:col>
      <xdr:colOff>95250</xdr:colOff>
      <xdr:row>27</xdr:row>
      <xdr:rowOff>57150</xdr:rowOff>
    </xdr:to>
    <xdr:graphicFrame macro="">
      <xdr:nvGraphicFramePr>
        <xdr:cNvPr id="36" name="Chart 2">
          <a:extLst>
            <a:ext uri="{FF2B5EF4-FFF2-40B4-BE49-F238E27FC236}">
              <a16:creationId xmlns:a16="http://schemas.microsoft.com/office/drawing/2014/main" id="{1854BBC1-EC60-4E33-8399-98E50109B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380999</xdr:colOff>
      <xdr:row>9</xdr:row>
      <xdr:rowOff>180975</xdr:rowOff>
    </xdr:from>
    <xdr:to>
      <xdr:col>15</xdr:col>
      <xdr:colOff>600074</xdr:colOff>
      <xdr:row>27</xdr:row>
      <xdr:rowOff>33337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45F95E3D-E9FB-459A-B369-815393646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276225</xdr:colOff>
      <xdr:row>10</xdr:row>
      <xdr:rowOff>9524</xdr:rowOff>
    </xdr:from>
    <xdr:to>
      <xdr:col>23</xdr:col>
      <xdr:colOff>381000</xdr:colOff>
      <xdr:row>27</xdr:row>
      <xdr:rowOff>38099</xdr:rowOff>
    </xdr:to>
    <xdr:graphicFrame macro="">
      <xdr:nvGraphicFramePr>
        <xdr:cNvPr id="38" name="Chart 4">
          <a:extLst>
            <a:ext uri="{FF2B5EF4-FFF2-40B4-BE49-F238E27FC236}">
              <a16:creationId xmlns:a16="http://schemas.microsoft.com/office/drawing/2014/main" id="{BFD34D35-5285-4847-921D-01FAD0315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476251</xdr:colOff>
      <xdr:row>1</xdr:row>
      <xdr:rowOff>0</xdr:rowOff>
    </xdr:from>
    <xdr:to>
      <xdr:col>20</xdr:col>
      <xdr:colOff>171451</xdr:colOff>
      <xdr:row>2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09F008-109D-4AE3-8C90-FECA2E74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1" y="190500"/>
          <a:ext cx="304800" cy="26670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1</xdr:row>
      <xdr:rowOff>19051</xdr:rowOff>
    </xdr:from>
    <xdr:to>
      <xdr:col>17</xdr:col>
      <xdr:colOff>207170</xdr:colOff>
      <xdr:row>2</xdr:row>
      <xdr:rowOff>76201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0F71F2-BB9A-4DF2-9C85-24587F250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0" y="209551"/>
          <a:ext cx="283370" cy="247650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1</xdr:row>
      <xdr:rowOff>9524</xdr:rowOff>
    </xdr:from>
    <xdr:to>
      <xdr:col>14</xdr:col>
      <xdr:colOff>466725</xdr:colOff>
      <xdr:row>2</xdr:row>
      <xdr:rowOff>66675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E9923A4-98E5-4A4C-9E26-09205146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200024"/>
          <a:ext cx="295275" cy="24765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47626</xdr:colOff>
      <xdr:row>4</xdr:row>
      <xdr:rowOff>161924</xdr:rowOff>
    </xdr:from>
    <xdr:to>
      <xdr:col>10</xdr:col>
      <xdr:colOff>190500</xdr:colOff>
      <xdr:row>7</xdr:row>
      <xdr:rowOff>123825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6DF7A5-833C-42C9-B6E8-3F59FC0DE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6" y="923924"/>
          <a:ext cx="752474" cy="533401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4</xdr:row>
      <xdr:rowOff>180975</xdr:rowOff>
    </xdr:from>
    <xdr:to>
      <xdr:col>16</xdr:col>
      <xdr:colOff>142875</xdr:colOff>
      <xdr:row>8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B2ACBA-599E-4E8A-84F4-96C4AB497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942975"/>
          <a:ext cx="619125" cy="581025"/>
        </a:xfrm>
        <a:prstGeom prst="rect">
          <a:avLst/>
        </a:prstGeom>
      </xdr:spPr>
    </xdr:pic>
    <xdr:clientData/>
  </xdr:twoCellAnchor>
  <xdr:twoCellAnchor editAs="oneCell">
    <xdr:from>
      <xdr:col>21</xdr:col>
      <xdr:colOff>466726</xdr:colOff>
      <xdr:row>4</xdr:row>
      <xdr:rowOff>123826</xdr:rowOff>
    </xdr:from>
    <xdr:to>
      <xdr:col>22</xdr:col>
      <xdr:colOff>457199</xdr:colOff>
      <xdr:row>7</xdr:row>
      <xdr:rowOff>123826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AA3BC75-017A-407F-BFFA-8DE14C9B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8326" y="885826"/>
          <a:ext cx="600073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552451</xdr:colOff>
      <xdr:row>5</xdr:row>
      <xdr:rowOff>0</xdr:rowOff>
    </xdr:from>
    <xdr:to>
      <xdr:col>4</xdr:col>
      <xdr:colOff>571500</xdr:colOff>
      <xdr:row>7</xdr:row>
      <xdr:rowOff>171450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871B83A-4B88-43E5-BEC2-661111A8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1" y="952500"/>
          <a:ext cx="628649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495301</xdr:colOff>
      <xdr:row>0</xdr:row>
      <xdr:rowOff>123824</xdr:rowOff>
    </xdr:from>
    <xdr:to>
      <xdr:col>1</xdr:col>
      <xdr:colOff>561975</xdr:colOff>
      <xdr:row>2</xdr:row>
      <xdr:rowOff>152399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5349999-26D1-4D13-9C1F-1B198451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1" y="123824"/>
          <a:ext cx="676274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95250</xdr:rowOff>
    </xdr:from>
    <xdr:to>
      <xdr:col>23</xdr:col>
      <xdr:colOff>457200</xdr:colOff>
      <xdr:row>2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7DD863-8B34-45BC-B880-B2BCCD496440}"/>
            </a:ext>
          </a:extLst>
        </xdr:cNvPr>
        <xdr:cNvSpPr/>
      </xdr:nvSpPr>
      <xdr:spPr>
        <a:xfrm>
          <a:off x="333375" y="95250"/>
          <a:ext cx="14144625" cy="4476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latin typeface="Sylfaen" panose="010A0502050306030303" pitchFamily="18" charset="0"/>
            </a:rPr>
            <a:t>              </a:t>
          </a:r>
          <a:r>
            <a:rPr lang="en-US" sz="1800" b="1">
              <a:latin typeface="+mn-lt"/>
            </a:rPr>
            <a:t>Insurance Analytics</a:t>
          </a:r>
          <a:endParaRPr lang="en-KE" sz="1800" b="1">
            <a:latin typeface="+mn-lt"/>
          </a:endParaRPr>
        </a:p>
      </xdr:txBody>
    </xdr:sp>
    <xdr:clientData/>
  </xdr:twoCellAnchor>
  <xdr:twoCellAnchor>
    <xdr:from>
      <xdr:col>0</xdr:col>
      <xdr:colOff>361949</xdr:colOff>
      <xdr:row>3</xdr:row>
      <xdr:rowOff>85726</xdr:rowOff>
    </xdr:from>
    <xdr:to>
      <xdr:col>12</xdr:col>
      <xdr:colOff>114300</xdr:colOff>
      <xdr:row>27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12E184-30B7-4B54-A6B2-DA57E7977DE3}"/>
            </a:ext>
          </a:extLst>
        </xdr:cNvPr>
        <xdr:cNvSpPr/>
      </xdr:nvSpPr>
      <xdr:spPr>
        <a:xfrm>
          <a:off x="361949" y="657226"/>
          <a:ext cx="7067551" cy="4543424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2">
                  <a:lumMod val="50000"/>
                </a:schemeClr>
              </a:solidFill>
            </a:rPr>
            <a:t>   </a:t>
          </a:r>
        </a:p>
        <a:p>
          <a:pPr algn="l"/>
          <a:r>
            <a:rPr lang="en-US" sz="1100" b="1">
              <a:solidFill>
                <a:schemeClr val="bg2">
                  <a:lumMod val="50000"/>
                </a:schemeClr>
              </a:solidFill>
            </a:rPr>
            <a:t>                                                              Avg Charges</a:t>
          </a:r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by Age Bracket (Gender)</a:t>
          </a: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                                                    Avg Charges by Age Bracket (Dependants)</a:t>
          </a: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KE" sz="11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333376</xdr:colOff>
      <xdr:row>3</xdr:row>
      <xdr:rowOff>76200</xdr:rowOff>
    </xdr:from>
    <xdr:to>
      <xdr:col>23</xdr:col>
      <xdr:colOff>419100</xdr:colOff>
      <xdr:row>27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EACB860-FE53-4550-9709-7D4FD1201804}"/>
            </a:ext>
          </a:extLst>
        </xdr:cNvPr>
        <xdr:cNvSpPr/>
      </xdr:nvSpPr>
      <xdr:spPr>
        <a:xfrm>
          <a:off x="7648576" y="647700"/>
          <a:ext cx="6791324" cy="454342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2">
                  <a:lumMod val="50000"/>
                </a:schemeClr>
              </a:solidFill>
            </a:rPr>
            <a:t>                                                       Avg Charges by Age Bracket (Smoker Status)</a:t>
          </a: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>
            <a:solidFill>
              <a:schemeClr val="bg2">
                <a:lumMod val="50000"/>
              </a:schemeClr>
            </a:solidFill>
          </a:endParaRPr>
        </a:p>
        <a:p>
          <a:pPr algn="l"/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                                               </a:t>
          </a:r>
          <a:r>
            <a:rPr lang="en-US" sz="1100" b="1">
              <a:solidFill>
                <a:schemeClr val="bg2">
                  <a:lumMod val="50000"/>
                </a:schemeClr>
              </a:solidFill>
            </a:rPr>
            <a:t>Avg Charges by Age Bracket</a:t>
          </a:r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(Region)</a:t>
          </a:r>
          <a:endParaRPr lang="en-KE" sz="11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19050</xdr:colOff>
      <xdr:row>0</xdr:row>
      <xdr:rowOff>171451</xdr:rowOff>
    </xdr:from>
    <xdr:to>
      <xdr:col>16</xdr:col>
      <xdr:colOff>190499</xdr:colOff>
      <xdr:row>2</xdr:row>
      <xdr:rowOff>95250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93694-A2CB-43CC-9CA7-BBC555E1525A}"/>
            </a:ext>
          </a:extLst>
        </xdr:cNvPr>
        <xdr:cNvSpPr/>
      </xdr:nvSpPr>
      <xdr:spPr>
        <a:xfrm>
          <a:off x="8553450" y="171451"/>
          <a:ext cx="1390649" cy="304799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/>
            <a:t>Overview</a:t>
          </a:r>
          <a:endParaRPr lang="en-KE" sz="1100" b="1"/>
        </a:p>
      </xdr:txBody>
    </xdr:sp>
    <xdr:clientData/>
  </xdr:twoCellAnchor>
  <xdr:twoCellAnchor>
    <xdr:from>
      <xdr:col>16</xdr:col>
      <xdr:colOff>457200</xdr:colOff>
      <xdr:row>0</xdr:row>
      <xdr:rowOff>161926</xdr:rowOff>
    </xdr:from>
    <xdr:to>
      <xdr:col>19</xdr:col>
      <xdr:colOff>19049</xdr:colOff>
      <xdr:row>2</xdr:row>
      <xdr:rowOff>104776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37E587-74BE-47F4-9D44-FE39D17655E9}"/>
            </a:ext>
          </a:extLst>
        </xdr:cNvPr>
        <xdr:cNvSpPr/>
      </xdr:nvSpPr>
      <xdr:spPr>
        <a:xfrm>
          <a:off x="10210800" y="161926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</a:t>
          </a:r>
          <a:r>
            <a:rPr lang="en-US" sz="1100" b="1"/>
            <a:t>Age</a:t>
          </a:r>
          <a:r>
            <a:rPr lang="en-US" sz="1100" b="1" baseline="0"/>
            <a:t> Insights</a:t>
          </a:r>
          <a:endParaRPr lang="en-KE" sz="1100" b="1"/>
        </a:p>
      </xdr:txBody>
    </xdr:sp>
    <xdr:clientData/>
  </xdr:twoCellAnchor>
  <xdr:twoCellAnchor>
    <xdr:from>
      <xdr:col>19</xdr:col>
      <xdr:colOff>314325</xdr:colOff>
      <xdr:row>0</xdr:row>
      <xdr:rowOff>152401</xdr:rowOff>
    </xdr:from>
    <xdr:to>
      <xdr:col>21</xdr:col>
      <xdr:colOff>485774</xdr:colOff>
      <xdr:row>2</xdr:row>
      <xdr:rowOff>95251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F6EEC9-4D81-40A8-9A7B-6B3CFF32E7E8}"/>
            </a:ext>
          </a:extLst>
        </xdr:cNvPr>
        <xdr:cNvSpPr/>
      </xdr:nvSpPr>
      <xdr:spPr>
        <a:xfrm>
          <a:off x="11896725" y="152401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/>
            <a:t>BMI</a:t>
          </a:r>
          <a:r>
            <a:rPr lang="en-US" sz="1100" b="1" baseline="0"/>
            <a:t> Insights</a:t>
          </a:r>
          <a:endParaRPr lang="en-KE" sz="1100" b="1"/>
        </a:p>
      </xdr:txBody>
    </xdr:sp>
    <xdr:clientData/>
  </xdr:twoCellAnchor>
  <xdr:twoCellAnchor>
    <xdr:from>
      <xdr:col>0</xdr:col>
      <xdr:colOff>361950</xdr:colOff>
      <xdr:row>3</xdr:row>
      <xdr:rowOff>85725</xdr:rowOff>
    </xdr:from>
    <xdr:to>
      <xdr:col>12</xdr:col>
      <xdr:colOff>114300</xdr:colOff>
      <xdr:row>14</xdr:row>
      <xdr:rowOff>161926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63324814-F161-400C-9063-C1C98FDA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361950</xdr:colOff>
      <xdr:row>14</xdr:row>
      <xdr:rowOff>180975</xdr:rowOff>
    </xdr:from>
    <xdr:to>
      <xdr:col>12</xdr:col>
      <xdr:colOff>104775</xdr:colOff>
      <xdr:row>27</xdr:row>
      <xdr:rowOff>28575</xdr:rowOff>
    </xdr:to>
    <xdr:graphicFrame macro="">
      <xdr:nvGraphicFramePr>
        <xdr:cNvPr id="14" name="Chart 6">
          <a:extLst>
            <a:ext uri="{FF2B5EF4-FFF2-40B4-BE49-F238E27FC236}">
              <a16:creationId xmlns:a16="http://schemas.microsoft.com/office/drawing/2014/main" id="{D02B0AA0-32C5-4FA9-AFEE-62D1EE116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333375</xdr:colOff>
      <xdr:row>3</xdr:row>
      <xdr:rowOff>76200</xdr:rowOff>
    </xdr:from>
    <xdr:to>
      <xdr:col>23</xdr:col>
      <xdr:colOff>428625</xdr:colOff>
      <xdr:row>14</xdr:row>
      <xdr:rowOff>114300</xdr:rowOff>
    </xdr:to>
    <xdr:graphicFrame macro="">
      <xdr:nvGraphicFramePr>
        <xdr:cNvPr id="15" name="Chart 7">
          <a:extLst>
            <a:ext uri="{FF2B5EF4-FFF2-40B4-BE49-F238E27FC236}">
              <a16:creationId xmlns:a16="http://schemas.microsoft.com/office/drawing/2014/main" id="{43E5E11C-E4F4-4F7B-BB9C-287C35454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333375</xdr:colOff>
      <xdr:row>15</xdr:row>
      <xdr:rowOff>28575</xdr:rowOff>
    </xdr:from>
    <xdr:to>
      <xdr:col>23</xdr:col>
      <xdr:colOff>419100</xdr:colOff>
      <xdr:row>27</xdr:row>
      <xdr:rowOff>47625</xdr:rowOff>
    </xdr:to>
    <xdr:graphicFrame macro="">
      <xdr:nvGraphicFramePr>
        <xdr:cNvPr id="16" name="Chart 8">
          <a:extLst>
            <a:ext uri="{FF2B5EF4-FFF2-40B4-BE49-F238E27FC236}">
              <a16:creationId xmlns:a16="http://schemas.microsoft.com/office/drawing/2014/main" id="{283CD255-EF35-4F53-97F3-8B6804881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590550</xdr:colOff>
      <xdr:row>0</xdr:row>
      <xdr:rowOff>133350</xdr:rowOff>
    </xdr:from>
    <xdr:to>
      <xdr:col>1</xdr:col>
      <xdr:colOff>533400</xdr:colOff>
      <xdr:row>2</xdr:row>
      <xdr:rowOff>104775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A24810-4638-49F7-B0B4-0BD53F07A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33350"/>
          <a:ext cx="552450" cy="352425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1</xdr:row>
      <xdr:rowOff>0</xdr:rowOff>
    </xdr:from>
    <xdr:to>
      <xdr:col>14</xdr:col>
      <xdr:colOff>428625</xdr:colOff>
      <xdr:row>2</xdr:row>
      <xdr:rowOff>57151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38809B8-B4DF-406D-8D77-AE8161D9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190500"/>
          <a:ext cx="295275" cy="247651"/>
        </a:xfrm>
        <a:prstGeom prst="rect">
          <a:avLst/>
        </a:prstGeom>
      </xdr:spPr>
    </xdr:pic>
    <xdr:clientData/>
  </xdr:twoCellAnchor>
  <xdr:twoCellAnchor editAs="oneCell">
    <xdr:from>
      <xdr:col>16</xdr:col>
      <xdr:colOff>561975</xdr:colOff>
      <xdr:row>1</xdr:row>
      <xdr:rowOff>9525</xdr:rowOff>
    </xdr:from>
    <xdr:to>
      <xdr:col>17</xdr:col>
      <xdr:colOff>235745</xdr:colOff>
      <xdr:row>2</xdr:row>
      <xdr:rowOff>66675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1940CB-5824-4455-A8F8-0303F94F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200025"/>
          <a:ext cx="283370" cy="247650"/>
        </a:xfrm>
        <a:prstGeom prst="rect">
          <a:avLst/>
        </a:prstGeom>
      </xdr:spPr>
    </xdr:pic>
    <xdr:clientData/>
  </xdr:twoCellAnchor>
  <xdr:twoCellAnchor editAs="oneCell">
    <xdr:from>
      <xdr:col>19</xdr:col>
      <xdr:colOff>447675</xdr:colOff>
      <xdr:row>0</xdr:row>
      <xdr:rowOff>180975</xdr:rowOff>
    </xdr:from>
    <xdr:to>
      <xdr:col>20</xdr:col>
      <xdr:colOff>142875</xdr:colOff>
      <xdr:row>2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72D4848-5161-4C8E-807C-A04FB358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0075" y="180975"/>
          <a:ext cx="304800" cy="26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0</xdr:row>
      <xdr:rowOff>104776</xdr:rowOff>
    </xdr:from>
    <xdr:to>
      <xdr:col>23</xdr:col>
      <xdr:colOff>419101</xdr:colOff>
      <xdr:row>2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D257A5-11D8-427B-AD14-F92906D7FA8C}"/>
            </a:ext>
          </a:extLst>
        </xdr:cNvPr>
        <xdr:cNvSpPr/>
      </xdr:nvSpPr>
      <xdr:spPr>
        <a:xfrm>
          <a:off x="285751" y="104776"/>
          <a:ext cx="14154150" cy="428624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latin typeface="Sylfaen" panose="010A0502050306030303" pitchFamily="18" charset="0"/>
            </a:rPr>
            <a:t>               </a:t>
          </a:r>
          <a:r>
            <a:rPr lang="en-US" sz="1800" b="1">
              <a:latin typeface="+mn-lt"/>
            </a:rPr>
            <a:t>Insurance Analytics</a:t>
          </a:r>
          <a:endParaRPr lang="en-KE" sz="1800" b="1">
            <a:latin typeface="+mn-lt"/>
          </a:endParaRPr>
        </a:p>
      </xdr:txBody>
    </xdr:sp>
    <xdr:clientData/>
  </xdr:twoCellAnchor>
  <xdr:twoCellAnchor>
    <xdr:from>
      <xdr:col>0</xdr:col>
      <xdr:colOff>361949</xdr:colOff>
      <xdr:row>3</xdr:row>
      <xdr:rowOff>123826</xdr:rowOff>
    </xdr:from>
    <xdr:to>
      <xdr:col>11</xdr:col>
      <xdr:colOff>581025</xdr:colOff>
      <xdr:row>27</xdr:row>
      <xdr:rowOff>66676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2775A1-6947-46D0-8330-CCBCFCF76A5A}"/>
            </a:ext>
          </a:extLst>
        </xdr:cNvPr>
        <xdr:cNvSpPr/>
      </xdr:nvSpPr>
      <xdr:spPr>
        <a:xfrm>
          <a:off x="361949" y="695326"/>
          <a:ext cx="6924676" cy="451485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2">
                  <a:lumMod val="50000"/>
                </a:schemeClr>
              </a:solidFill>
            </a:rPr>
            <a:t>                                                                      Avg Charges</a:t>
          </a:r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by BMI Bracket (Gender)</a:t>
          </a: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</a:endParaRPr>
        </a:p>
        <a:p>
          <a:pPr algn="l"/>
          <a:r>
            <a:rPr lang="en-US" sz="1100" b="1" baseline="0">
              <a:solidFill>
                <a:schemeClr val="bg2">
                  <a:lumMod val="50000"/>
                </a:schemeClr>
              </a:solidFill>
            </a:rPr>
            <a:t>                                                                 Avg Charges by BMI Bracket (Dependants)</a:t>
          </a:r>
        </a:p>
      </xdr:txBody>
    </xdr:sp>
    <xdr:clientData/>
  </xdr:twoCellAnchor>
  <xdr:twoCellAnchor>
    <xdr:from>
      <xdr:col>12</xdr:col>
      <xdr:colOff>190500</xdr:colOff>
      <xdr:row>3</xdr:row>
      <xdr:rowOff>123824</xdr:rowOff>
    </xdr:from>
    <xdr:to>
      <xdr:col>23</xdr:col>
      <xdr:colOff>380999</xdr:colOff>
      <xdr:row>27</xdr:row>
      <xdr:rowOff>19049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0CC8569-1BA6-4642-B840-64F38AA90A4B}"/>
            </a:ext>
          </a:extLst>
        </xdr:cNvPr>
        <xdr:cNvSpPr/>
      </xdr:nvSpPr>
      <xdr:spPr>
        <a:xfrm>
          <a:off x="7505700" y="695324"/>
          <a:ext cx="6896099" cy="446722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Avg Charges by BMI Bracket (Smoker Status)</a:t>
          </a: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baseline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Avg Charges by BMI Bracket (Region)</a:t>
          </a:r>
          <a:endParaRPr lang="en-KE" sz="11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381000</xdr:colOff>
      <xdr:row>0</xdr:row>
      <xdr:rowOff>161926</xdr:rowOff>
    </xdr:from>
    <xdr:to>
      <xdr:col>18</xdr:col>
      <xdr:colOff>552449</xdr:colOff>
      <xdr:row>2</xdr:row>
      <xdr:rowOff>104776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7EBF74-523B-447E-86C9-D16A02F9573F}"/>
            </a:ext>
          </a:extLst>
        </xdr:cNvPr>
        <xdr:cNvSpPr/>
      </xdr:nvSpPr>
      <xdr:spPr>
        <a:xfrm>
          <a:off x="10134600" y="161926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</a:t>
          </a:r>
          <a:r>
            <a:rPr lang="en-US" sz="1100" b="1"/>
            <a:t>Age</a:t>
          </a:r>
          <a:r>
            <a:rPr lang="en-US" sz="1100" b="1" baseline="0"/>
            <a:t> Insights</a:t>
          </a:r>
          <a:endParaRPr lang="en-KE" sz="1100" b="1"/>
        </a:p>
      </xdr:txBody>
    </xdr:sp>
    <xdr:clientData/>
  </xdr:twoCellAnchor>
  <xdr:twoCellAnchor>
    <xdr:from>
      <xdr:col>13</xdr:col>
      <xdr:colOff>466725</xdr:colOff>
      <xdr:row>0</xdr:row>
      <xdr:rowOff>152401</xdr:rowOff>
    </xdr:from>
    <xdr:to>
      <xdr:col>16</xdr:col>
      <xdr:colOff>28574</xdr:colOff>
      <xdr:row>2</xdr:row>
      <xdr:rowOff>95251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8DFEE4-6E6A-4C17-9942-1EAA2B27A279}"/>
            </a:ext>
          </a:extLst>
        </xdr:cNvPr>
        <xdr:cNvSpPr/>
      </xdr:nvSpPr>
      <xdr:spPr>
        <a:xfrm>
          <a:off x="8391525" y="152401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/>
            <a:t>Overview</a:t>
          </a:r>
          <a:endParaRPr lang="en-KE" sz="1100" b="1"/>
        </a:p>
      </xdr:txBody>
    </xdr:sp>
    <xdr:clientData/>
  </xdr:twoCellAnchor>
  <xdr:twoCellAnchor>
    <xdr:from>
      <xdr:col>19</xdr:col>
      <xdr:colOff>228600</xdr:colOff>
      <xdr:row>0</xdr:row>
      <xdr:rowOff>142876</xdr:rowOff>
    </xdr:from>
    <xdr:to>
      <xdr:col>21</xdr:col>
      <xdr:colOff>400049</xdr:colOff>
      <xdr:row>2</xdr:row>
      <xdr:rowOff>85726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3D747E-07B4-45AB-BA52-7947368023D2}"/>
            </a:ext>
          </a:extLst>
        </xdr:cNvPr>
        <xdr:cNvSpPr/>
      </xdr:nvSpPr>
      <xdr:spPr>
        <a:xfrm>
          <a:off x="11811000" y="142876"/>
          <a:ext cx="1390649" cy="3238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</a:t>
          </a:r>
          <a:r>
            <a:rPr lang="en-US" sz="1100" b="1"/>
            <a:t>BMI</a:t>
          </a:r>
          <a:r>
            <a:rPr lang="en-US" sz="1100" b="1" baseline="0"/>
            <a:t> Insights</a:t>
          </a:r>
          <a:endParaRPr lang="en-KE" sz="1100" b="1"/>
        </a:p>
      </xdr:txBody>
    </xdr:sp>
    <xdr:clientData/>
  </xdr:twoCellAnchor>
  <xdr:twoCellAnchor>
    <xdr:from>
      <xdr:col>0</xdr:col>
      <xdr:colOff>371474</xdr:colOff>
      <xdr:row>3</xdr:row>
      <xdr:rowOff>123825</xdr:rowOff>
    </xdr:from>
    <xdr:to>
      <xdr:col>11</xdr:col>
      <xdr:colOff>590549</xdr:colOff>
      <xdr:row>14</xdr:row>
      <xdr:rowOff>171450</xdr:rowOff>
    </xdr:to>
    <xdr:graphicFrame macro="">
      <xdr:nvGraphicFramePr>
        <xdr:cNvPr id="13" name="Chart 9">
          <a:extLst>
            <a:ext uri="{FF2B5EF4-FFF2-40B4-BE49-F238E27FC236}">
              <a16:creationId xmlns:a16="http://schemas.microsoft.com/office/drawing/2014/main" id="{7BDB0DC0-67D0-4C50-A165-B8995DEF3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190500</xdr:colOff>
      <xdr:row>3</xdr:row>
      <xdr:rowOff>76201</xdr:rowOff>
    </xdr:from>
    <xdr:to>
      <xdr:col>23</xdr:col>
      <xdr:colOff>390525</xdr:colOff>
      <xdr:row>14</xdr:row>
      <xdr:rowOff>133351</xdr:rowOff>
    </xdr:to>
    <xdr:graphicFrame macro="">
      <xdr:nvGraphicFramePr>
        <xdr:cNvPr id="14" name="Chart 10">
          <a:extLst>
            <a:ext uri="{FF2B5EF4-FFF2-40B4-BE49-F238E27FC236}">
              <a16:creationId xmlns:a16="http://schemas.microsoft.com/office/drawing/2014/main" id="{5424A18A-0564-4E30-979D-8FC4FC279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371474</xdr:colOff>
      <xdr:row>14</xdr:row>
      <xdr:rowOff>166686</xdr:rowOff>
    </xdr:from>
    <xdr:to>
      <xdr:col>11</xdr:col>
      <xdr:colOff>590549</xdr:colOff>
      <xdr:row>27</xdr:row>
      <xdr:rowOff>76200</xdr:rowOff>
    </xdr:to>
    <xdr:graphicFrame macro="">
      <xdr:nvGraphicFramePr>
        <xdr:cNvPr id="15" name="Chart 11">
          <a:extLst>
            <a:ext uri="{FF2B5EF4-FFF2-40B4-BE49-F238E27FC236}">
              <a16:creationId xmlns:a16="http://schemas.microsoft.com/office/drawing/2014/main" id="{9271A539-2EF7-4E03-B843-493776DDF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190501</xdr:colOff>
      <xdr:row>14</xdr:row>
      <xdr:rowOff>66675</xdr:rowOff>
    </xdr:from>
    <xdr:to>
      <xdr:col>23</xdr:col>
      <xdr:colOff>390525</xdr:colOff>
      <xdr:row>27</xdr:row>
      <xdr:rowOff>28575</xdr:rowOff>
    </xdr:to>
    <xdr:graphicFrame macro="">
      <xdr:nvGraphicFramePr>
        <xdr:cNvPr id="16" name="Chart 12">
          <a:extLst>
            <a:ext uri="{FF2B5EF4-FFF2-40B4-BE49-F238E27FC236}">
              <a16:creationId xmlns:a16="http://schemas.microsoft.com/office/drawing/2014/main" id="{206EBF11-6EC3-4A7C-8716-E757B5015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590551</xdr:colOff>
      <xdr:row>0</xdr:row>
      <xdr:rowOff>180976</xdr:rowOff>
    </xdr:from>
    <xdr:to>
      <xdr:col>14</xdr:col>
      <xdr:colOff>276226</xdr:colOff>
      <xdr:row>2</xdr:row>
      <xdr:rowOff>47627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915F17-E9C3-419F-9CEA-631715E7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351" y="180976"/>
          <a:ext cx="295275" cy="247651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561976</xdr:colOff>
      <xdr:row>0</xdr:row>
      <xdr:rowOff>104776</xdr:rowOff>
    </xdr:from>
    <xdr:to>
      <xdr:col>1</xdr:col>
      <xdr:colOff>504826</xdr:colOff>
      <xdr:row>2</xdr:row>
      <xdr:rowOff>76201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6FCD232-ADCA-4152-838E-08AEF87B4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104776"/>
          <a:ext cx="552450" cy="35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1</xdr:row>
      <xdr:rowOff>19050</xdr:rowOff>
    </xdr:from>
    <xdr:to>
      <xdr:col>17</xdr:col>
      <xdr:colOff>121445</xdr:colOff>
      <xdr:row>2</xdr:row>
      <xdr:rowOff>76200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5A4ADFF-6747-4CE7-9349-08CF74C67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209550"/>
          <a:ext cx="283370" cy="247650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352425</xdr:colOff>
      <xdr:row>0</xdr:row>
      <xdr:rowOff>180975</xdr:rowOff>
    </xdr:from>
    <xdr:to>
      <xdr:col>20</xdr:col>
      <xdr:colOff>47625</xdr:colOff>
      <xdr:row>2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36F6FC-7F32-420A-9E0C-E65DF6B4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4825" y="180975"/>
          <a:ext cx="304800" cy="266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dan Kung'u Njoroge" refreshedDate="45966.691844675923" createdVersion="7" refreshedVersion="7" minRefreshableVersion="3" recordCount="1338" xr:uid="{559CBE61-BA8D-415E-9FD4-D46422C1DC13}">
  <cacheSource type="worksheet">
    <worksheetSource name="Table1_2"/>
  </cacheSource>
  <cacheFields count="7">
    <cacheField name="Age Bracket" numFmtId="0">
      <sharedItems count="10">
        <s v="19 - 25"/>
        <s v="0 - 18"/>
        <s v="26 - 30"/>
        <s v="31 - 35"/>
        <s v="46 - 50"/>
        <s v="36 - 40"/>
        <s v="56 - 60"/>
        <s v="61 - 65"/>
        <s v="51 - 55"/>
        <s v="41 - 45"/>
      </sharedItems>
    </cacheField>
    <cacheField name="sex" numFmtId="0">
      <sharedItems count="2">
        <s v="female"/>
        <s v="male"/>
      </sharedItems>
    </cacheField>
    <cacheField name="BMI Bracket" numFmtId="0">
      <sharedItems count="6">
        <s v="Overweight"/>
        <s v="Obese I"/>
        <s v="Normal"/>
        <s v="Obese II"/>
        <s v="Obese III"/>
        <s v="Underweight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699999999999" maxValue="63770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x v="0"/>
    <x v="0"/>
    <x v="0"/>
    <x v="0"/>
    <x v="0"/>
    <x v="0"/>
    <n v="16884.919999999998"/>
  </r>
  <r>
    <x v="1"/>
    <x v="1"/>
    <x v="1"/>
    <x v="1"/>
    <x v="1"/>
    <x v="1"/>
    <n v="1725.55"/>
  </r>
  <r>
    <x v="2"/>
    <x v="1"/>
    <x v="1"/>
    <x v="2"/>
    <x v="1"/>
    <x v="1"/>
    <n v="4449.46"/>
  </r>
  <r>
    <x v="3"/>
    <x v="1"/>
    <x v="2"/>
    <x v="0"/>
    <x v="1"/>
    <x v="2"/>
    <n v="21984.47"/>
  </r>
  <r>
    <x v="3"/>
    <x v="1"/>
    <x v="0"/>
    <x v="0"/>
    <x v="1"/>
    <x v="2"/>
    <n v="3866.86"/>
  </r>
  <r>
    <x v="3"/>
    <x v="0"/>
    <x v="0"/>
    <x v="0"/>
    <x v="1"/>
    <x v="1"/>
    <n v="3756.62"/>
  </r>
  <r>
    <x v="4"/>
    <x v="0"/>
    <x v="1"/>
    <x v="1"/>
    <x v="1"/>
    <x v="1"/>
    <n v="8240.59"/>
  </r>
  <r>
    <x v="5"/>
    <x v="0"/>
    <x v="0"/>
    <x v="2"/>
    <x v="1"/>
    <x v="2"/>
    <n v="7281.51"/>
  </r>
  <r>
    <x v="5"/>
    <x v="1"/>
    <x v="0"/>
    <x v="3"/>
    <x v="1"/>
    <x v="3"/>
    <n v="6406.41"/>
  </r>
  <r>
    <x v="6"/>
    <x v="0"/>
    <x v="0"/>
    <x v="0"/>
    <x v="1"/>
    <x v="2"/>
    <n v="28923.14"/>
  </r>
  <r>
    <x v="0"/>
    <x v="1"/>
    <x v="0"/>
    <x v="0"/>
    <x v="1"/>
    <x v="3"/>
    <n v="2721.32"/>
  </r>
  <r>
    <x v="7"/>
    <x v="0"/>
    <x v="0"/>
    <x v="0"/>
    <x v="0"/>
    <x v="1"/>
    <n v="27808.73"/>
  </r>
  <r>
    <x v="0"/>
    <x v="1"/>
    <x v="1"/>
    <x v="0"/>
    <x v="1"/>
    <x v="0"/>
    <n v="1826.84"/>
  </r>
  <r>
    <x v="6"/>
    <x v="0"/>
    <x v="3"/>
    <x v="0"/>
    <x v="1"/>
    <x v="1"/>
    <n v="11090.72"/>
  </r>
  <r>
    <x v="2"/>
    <x v="1"/>
    <x v="4"/>
    <x v="0"/>
    <x v="0"/>
    <x v="1"/>
    <n v="39611.760000000002"/>
  </r>
  <r>
    <x v="0"/>
    <x v="1"/>
    <x v="2"/>
    <x v="1"/>
    <x v="1"/>
    <x v="0"/>
    <n v="1837.24"/>
  </r>
  <r>
    <x v="8"/>
    <x v="0"/>
    <x v="1"/>
    <x v="1"/>
    <x v="1"/>
    <x v="3"/>
    <n v="10797.34"/>
  </r>
  <r>
    <x v="0"/>
    <x v="1"/>
    <x v="2"/>
    <x v="0"/>
    <x v="1"/>
    <x v="3"/>
    <n v="2395.17"/>
  </r>
  <r>
    <x v="6"/>
    <x v="1"/>
    <x v="4"/>
    <x v="0"/>
    <x v="1"/>
    <x v="0"/>
    <n v="10602.38"/>
  </r>
  <r>
    <x v="2"/>
    <x v="1"/>
    <x v="3"/>
    <x v="0"/>
    <x v="0"/>
    <x v="0"/>
    <n v="36837.47"/>
  </r>
  <r>
    <x v="6"/>
    <x v="0"/>
    <x v="3"/>
    <x v="0"/>
    <x v="1"/>
    <x v="3"/>
    <n v="13228.85"/>
  </r>
  <r>
    <x v="2"/>
    <x v="0"/>
    <x v="1"/>
    <x v="1"/>
    <x v="1"/>
    <x v="0"/>
    <n v="4149.74"/>
  </r>
  <r>
    <x v="1"/>
    <x v="1"/>
    <x v="1"/>
    <x v="0"/>
    <x v="1"/>
    <x v="1"/>
    <n v="1137.01"/>
  </r>
  <r>
    <x v="3"/>
    <x v="0"/>
    <x v="1"/>
    <x v="1"/>
    <x v="0"/>
    <x v="3"/>
    <n v="37701.879999999997"/>
  </r>
  <r>
    <x v="5"/>
    <x v="1"/>
    <x v="0"/>
    <x v="3"/>
    <x v="1"/>
    <x v="2"/>
    <n v="6203.9"/>
  </r>
  <r>
    <x v="6"/>
    <x v="0"/>
    <x v="0"/>
    <x v="2"/>
    <x v="1"/>
    <x v="1"/>
    <n v="14001.13"/>
  </r>
  <r>
    <x v="7"/>
    <x v="0"/>
    <x v="2"/>
    <x v="0"/>
    <x v="1"/>
    <x v="3"/>
    <n v="14451.84"/>
  </r>
  <r>
    <x v="8"/>
    <x v="0"/>
    <x v="1"/>
    <x v="3"/>
    <x v="1"/>
    <x v="2"/>
    <n v="12268.63"/>
  </r>
  <r>
    <x v="0"/>
    <x v="1"/>
    <x v="5"/>
    <x v="1"/>
    <x v="1"/>
    <x v="2"/>
    <n v="2775.19"/>
  </r>
  <r>
    <x v="3"/>
    <x v="1"/>
    <x v="3"/>
    <x v="3"/>
    <x v="0"/>
    <x v="0"/>
    <n v="38711"/>
  </r>
  <r>
    <x v="0"/>
    <x v="1"/>
    <x v="3"/>
    <x v="0"/>
    <x v="0"/>
    <x v="0"/>
    <n v="35585.58"/>
  </r>
  <r>
    <x v="1"/>
    <x v="0"/>
    <x v="0"/>
    <x v="0"/>
    <x v="1"/>
    <x v="3"/>
    <n v="2198.19"/>
  </r>
  <r>
    <x v="0"/>
    <x v="0"/>
    <x v="0"/>
    <x v="4"/>
    <x v="1"/>
    <x v="0"/>
    <n v="4687.8"/>
  </r>
  <r>
    <x v="7"/>
    <x v="1"/>
    <x v="0"/>
    <x v="0"/>
    <x v="1"/>
    <x v="2"/>
    <n v="13770.1"/>
  </r>
  <r>
    <x v="2"/>
    <x v="1"/>
    <x v="3"/>
    <x v="1"/>
    <x v="0"/>
    <x v="0"/>
    <n v="51194.559999999998"/>
  </r>
  <r>
    <x v="0"/>
    <x v="1"/>
    <x v="2"/>
    <x v="0"/>
    <x v="1"/>
    <x v="2"/>
    <n v="1625.43"/>
  </r>
  <r>
    <x v="7"/>
    <x v="0"/>
    <x v="1"/>
    <x v="2"/>
    <x v="1"/>
    <x v="2"/>
    <n v="15612.19"/>
  </r>
  <r>
    <x v="2"/>
    <x v="1"/>
    <x v="2"/>
    <x v="0"/>
    <x v="1"/>
    <x v="0"/>
    <n v="2302.3000000000002"/>
  </r>
  <r>
    <x v="3"/>
    <x v="1"/>
    <x v="3"/>
    <x v="1"/>
    <x v="0"/>
    <x v="3"/>
    <n v="39774.28"/>
  </r>
  <r>
    <x v="6"/>
    <x v="1"/>
    <x v="4"/>
    <x v="0"/>
    <x v="0"/>
    <x v="0"/>
    <n v="48173.36"/>
  </r>
  <r>
    <x v="0"/>
    <x v="0"/>
    <x v="0"/>
    <x v="0"/>
    <x v="1"/>
    <x v="3"/>
    <n v="3046.06"/>
  </r>
  <r>
    <x v="3"/>
    <x v="0"/>
    <x v="3"/>
    <x v="3"/>
    <x v="1"/>
    <x v="1"/>
    <n v="4949.76"/>
  </r>
  <r>
    <x v="9"/>
    <x v="1"/>
    <x v="2"/>
    <x v="1"/>
    <x v="1"/>
    <x v="1"/>
    <n v="6272.48"/>
  </r>
  <r>
    <x v="5"/>
    <x v="0"/>
    <x v="1"/>
    <x v="3"/>
    <x v="1"/>
    <x v="1"/>
    <n v="6313.76"/>
  </r>
  <r>
    <x v="5"/>
    <x v="1"/>
    <x v="3"/>
    <x v="1"/>
    <x v="1"/>
    <x v="3"/>
    <n v="6079.67"/>
  </r>
  <r>
    <x v="8"/>
    <x v="1"/>
    <x v="3"/>
    <x v="0"/>
    <x v="1"/>
    <x v="0"/>
    <n v="20630.28"/>
  </r>
  <r>
    <x v="1"/>
    <x v="0"/>
    <x v="3"/>
    <x v="3"/>
    <x v="1"/>
    <x v="3"/>
    <n v="3393.36"/>
  </r>
  <r>
    <x v="2"/>
    <x v="0"/>
    <x v="1"/>
    <x v="0"/>
    <x v="1"/>
    <x v="2"/>
    <n v="3556.92"/>
  </r>
  <r>
    <x v="6"/>
    <x v="0"/>
    <x v="2"/>
    <x v="0"/>
    <x v="1"/>
    <x v="1"/>
    <n v="12629.9"/>
  </r>
  <r>
    <x v="5"/>
    <x v="1"/>
    <x v="3"/>
    <x v="1"/>
    <x v="0"/>
    <x v="1"/>
    <n v="38709.18"/>
  </r>
  <r>
    <x v="1"/>
    <x v="0"/>
    <x v="3"/>
    <x v="0"/>
    <x v="1"/>
    <x v="3"/>
    <n v="2211.13"/>
  </r>
  <r>
    <x v="0"/>
    <x v="0"/>
    <x v="1"/>
    <x v="3"/>
    <x v="1"/>
    <x v="2"/>
    <n v="3579.83"/>
  </r>
  <r>
    <x v="4"/>
    <x v="1"/>
    <x v="0"/>
    <x v="1"/>
    <x v="0"/>
    <x v="0"/>
    <n v="23568.27"/>
  </r>
  <r>
    <x v="5"/>
    <x v="1"/>
    <x v="1"/>
    <x v="0"/>
    <x v="0"/>
    <x v="1"/>
    <n v="37742.58"/>
  </r>
  <r>
    <x v="5"/>
    <x v="0"/>
    <x v="0"/>
    <x v="2"/>
    <x v="1"/>
    <x v="2"/>
    <n v="8059.68"/>
  </r>
  <r>
    <x v="6"/>
    <x v="1"/>
    <x v="3"/>
    <x v="3"/>
    <x v="0"/>
    <x v="2"/>
    <n v="47496.49"/>
  </r>
  <r>
    <x v="6"/>
    <x v="0"/>
    <x v="1"/>
    <x v="3"/>
    <x v="1"/>
    <x v="3"/>
    <n v="13607.37"/>
  </r>
  <r>
    <x v="1"/>
    <x v="1"/>
    <x v="1"/>
    <x v="3"/>
    <x v="0"/>
    <x v="1"/>
    <n v="34303.17"/>
  </r>
  <r>
    <x v="8"/>
    <x v="0"/>
    <x v="2"/>
    <x v="1"/>
    <x v="0"/>
    <x v="1"/>
    <n v="23244.79"/>
  </r>
  <r>
    <x v="3"/>
    <x v="0"/>
    <x v="3"/>
    <x v="3"/>
    <x v="1"/>
    <x v="2"/>
    <n v="5989.52"/>
  </r>
  <r>
    <x v="9"/>
    <x v="1"/>
    <x v="0"/>
    <x v="2"/>
    <x v="1"/>
    <x v="3"/>
    <n v="8606.2199999999993"/>
  </r>
  <r>
    <x v="0"/>
    <x v="1"/>
    <x v="1"/>
    <x v="5"/>
    <x v="1"/>
    <x v="1"/>
    <n v="4504.66"/>
  </r>
  <r>
    <x v="7"/>
    <x v="1"/>
    <x v="2"/>
    <x v="1"/>
    <x v="1"/>
    <x v="2"/>
    <n v="30166.62"/>
  </r>
  <r>
    <x v="2"/>
    <x v="0"/>
    <x v="0"/>
    <x v="1"/>
    <x v="1"/>
    <x v="2"/>
    <n v="4133.6400000000003"/>
  </r>
  <r>
    <x v="0"/>
    <x v="0"/>
    <x v="2"/>
    <x v="0"/>
    <x v="0"/>
    <x v="2"/>
    <n v="14711.74"/>
  </r>
  <r>
    <x v="0"/>
    <x v="0"/>
    <x v="0"/>
    <x v="0"/>
    <x v="1"/>
    <x v="0"/>
    <n v="1743.21"/>
  </r>
  <r>
    <x v="7"/>
    <x v="0"/>
    <x v="3"/>
    <x v="3"/>
    <x v="1"/>
    <x v="0"/>
    <n v="14235.07"/>
  </r>
  <r>
    <x v="5"/>
    <x v="1"/>
    <x v="0"/>
    <x v="1"/>
    <x v="1"/>
    <x v="2"/>
    <n v="6389.38"/>
  </r>
  <r>
    <x v="5"/>
    <x v="0"/>
    <x v="3"/>
    <x v="0"/>
    <x v="1"/>
    <x v="1"/>
    <n v="5920.1"/>
  </r>
  <r>
    <x v="2"/>
    <x v="1"/>
    <x v="2"/>
    <x v="2"/>
    <x v="0"/>
    <x v="1"/>
    <n v="17663.14"/>
  </r>
  <r>
    <x v="2"/>
    <x v="0"/>
    <x v="2"/>
    <x v="0"/>
    <x v="0"/>
    <x v="1"/>
    <n v="16577.78"/>
  </r>
  <r>
    <x v="3"/>
    <x v="1"/>
    <x v="0"/>
    <x v="4"/>
    <x v="1"/>
    <x v="3"/>
    <n v="6799.46"/>
  </r>
  <r>
    <x v="8"/>
    <x v="0"/>
    <x v="0"/>
    <x v="2"/>
    <x v="1"/>
    <x v="0"/>
    <n v="11741.73"/>
  </r>
  <r>
    <x v="6"/>
    <x v="1"/>
    <x v="1"/>
    <x v="1"/>
    <x v="1"/>
    <x v="1"/>
    <n v="11946.63"/>
  </r>
  <r>
    <x v="9"/>
    <x v="1"/>
    <x v="0"/>
    <x v="3"/>
    <x v="1"/>
    <x v="0"/>
    <n v="7726.85"/>
  </r>
  <r>
    <x v="6"/>
    <x v="1"/>
    <x v="1"/>
    <x v="0"/>
    <x v="1"/>
    <x v="2"/>
    <n v="11356.66"/>
  </r>
  <r>
    <x v="2"/>
    <x v="0"/>
    <x v="0"/>
    <x v="1"/>
    <x v="1"/>
    <x v="1"/>
    <n v="3947.41"/>
  </r>
  <r>
    <x v="0"/>
    <x v="1"/>
    <x v="3"/>
    <x v="0"/>
    <x v="1"/>
    <x v="1"/>
    <n v="1532.47"/>
  </r>
  <r>
    <x v="0"/>
    <x v="0"/>
    <x v="3"/>
    <x v="0"/>
    <x v="1"/>
    <x v="3"/>
    <n v="2755.02"/>
  </r>
  <r>
    <x v="9"/>
    <x v="0"/>
    <x v="1"/>
    <x v="0"/>
    <x v="1"/>
    <x v="2"/>
    <n v="6571.02"/>
  </r>
  <r>
    <x v="3"/>
    <x v="1"/>
    <x v="0"/>
    <x v="1"/>
    <x v="1"/>
    <x v="3"/>
    <n v="4441.21"/>
  </r>
  <r>
    <x v="9"/>
    <x v="0"/>
    <x v="3"/>
    <x v="0"/>
    <x v="1"/>
    <x v="3"/>
    <n v="7935.29"/>
  </r>
  <r>
    <x v="0"/>
    <x v="1"/>
    <x v="3"/>
    <x v="1"/>
    <x v="0"/>
    <x v="1"/>
    <n v="37165.160000000003"/>
  </r>
  <r>
    <x v="4"/>
    <x v="0"/>
    <x v="4"/>
    <x v="5"/>
    <x v="1"/>
    <x v="2"/>
    <n v="11033.66"/>
  </r>
  <r>
    <x v="5"/>
    <x v="0"/>
    <x v="1"/>
    <x v="3"/>
    <x v="0"/>
    <x v="0"/>
    <n v="39836.519999999997"/>
  </r>
  <r>
    <x v="9"/>
    <x v="1"/>
    <x v="2"/>
    <x v="3"/>
    <x v="0"/>
    <x v="2"/>
    <n v="21098.55"/>
  </r>
  <r>
    <x v="6"/>
    <x v="0"/>
    <x v="1"/>
    <x v="0"/>
    <x v="0"/>
    <x v="2"/>
    <n v="43578.94"/>
  </r>
  <r>
    <x v="6"/>
    <x v="0"/>
    <x v="0"/>
    <x v="0"/>
    <x v="1"/>
    <x v="0"/>
    <n v="11073.18"/>
  </r>
  <r>
    <x v="4"/>
    <x v="0"/>
    <x v="0"/>
    <x v="0"/>
    <x v="1"/>
    <x v="2"/>
    <n v="8026.67"/>
  </r>
  <r>
    <x v="8"/>
    <x v="0"/>
    <x v="0"/>
    <x v="0"/>
    <x v="1"/>
    <x v="2"/>
    <n v="11082.58"/>
  </r>
  <r>
    <x v="0"/>
    <x v="0"/>
    <x v="3"/>
    <x v="0"/>
    <x v="1"/>
    <x v="1"/>
    <n v="2026.97"/>
  </r>
  <r>
    <x v="8"/>
    <x v="0"/>
    <x v="2"/>
    <x v="1"/>
    <x v="1"/>
    <x v="2"/>
    <n v="10942.13"/>
  </r>
  <r>
    <x v="6"/>
    <x v="1"/>
    <x v="0"/>
    <x v="2"/>
    <x v="0"/>
    <x v="3"/>
    <n v="30184.94"/>
  </r>
  <r>
    <x v="3"/>
    <x v="1"/>
    <x v="1"/>
    <x v="3"/>
    <x v="1"/>
    <x v="2"/>
    <n v="5729.01"/>
  </r>
  <r>
    <x v="7"/>
    <x v="0"/>
    <x v="1"/>
    <x v="3"/>
    <x v="0"/>
    <x v="0"/>
    <n v="47291.06"/>
  </r>
  <r>
    <x v="2"/>
    <x v="0"/>
    <x v="3"/>
    <x v="1"/>
    <x v="1"/>
    <x v="1"/>
    <n v="3766.88"/>
  </r>
  <r>
    <x v="8"/>
    <x v="0"/>
    <x v="1"/>
    <x v="2"/>
    <x v="1"/>
    <x v="0"/>
    <n v="12105.32"/>
  </r>
  <r>
    <x v="8"/>
    <x v="1"/>
    <x v="3"/>
    <x v="0"/>
    <x v="1"/>
    <x v="1"/>
    <n v="10226.280000000001"/>
  </r>
  <r>
    <x v="6"/>
    <x v="1"/>
    <x v="2"/>
    <x v="0"/>
    <x v="0"/>
    <x v="3"/>
    <n v="22412.65"/>
  </r>
  <r>
    <x v="5"/>
    <x v="1"/>
    <x v="2"/>
    <x v="0"/>
    <x v="0"/>
    <x v="0"/>
    <n v="15820.7"/>
  </r>
  <r>
    <x v="9"/>
    <x v="0"/>
    <x v="1"/>
    <x v="0"/>
    <x v="1"/>
    <x v="0"/>
    <n v="6186.13"/>
  </r>
  <r>
    <x v="2"/>
    <x v="1"/>
    <x v="0"/>
    <x v="0"/>
    <x v="1"/>
    <x v="3"/>
    <n v="3645.09"/>
  </r>
  <r>
    <x v="1"/>
    <x v="0"/>
    <x v="1"/>
    <x v="0"/>
    <x v="1"/>
    <x v="3"/>
    <n v="21344.85"/>
  </r>
  <r>
    <x v="7"/>
    <x v="0"/>
    <x v="1"/>
    <x v="2"/>
    <x v="0"/>
    <x v="1"/>
    <n v="30942.19"/>
  </r>
  <r>
    <x v="3"/>
    <x v="0"/>
    <x v="0"/>
    <x v="1"/>
    <x v="1"/>
    <x v="0"/>
    <n v="5003.8500000000004"/>
  </r>
  <r>
    <x v="0"/>
    <x v="1"/>
    <x v="0"/>
    <x v="1"/>
    <x v="0"/>
    <x v="2"/>
    <n v="17560.38"/>
  </r>
  <r>
    <x v="0"/>
    <x v="0"/>
    <x v="0"/>
    <x v="1"/>
    <x v="1"/>
    <x v="0"/>
    <n v="2331.52"/>
  </r>
  <r>
    <x v="2"/>
    <x v="1"/>
    <x v="1"/>
    <x v="3"/>
    <x v="1"/>
    <x v="2"/>
    <n v="3877.3"/>
  </r>
  <r>
    <x v="2"/>
    <x v="1"/>
    <x v="0"/>
    <x v="0"/>
    <x v="1"/>
    <x v="1"/>
    <n v="2867.12"/>
  </r>
  <r>
    <x v="7"/>
    <x v="1"/>
    <x v="3"/>
    <x v="0"/>
    <x v="0"/>
    <x v="1"/>
    <n v="47055.53"/>
  </r>
  <r>
    <x v="8"/>
    <x v="1"/>
    <x v="1"/>
    <x v="1"/>
    <x v="1"/>
    <x v="2"/>
    <n v="10825.25"/>
  </r>
  <r>
    <x v="8"/>
    <x v="0"/>
    <x v="0"/>
    <x v="3"/>
    <x v="1"/>
    <x v="0"/>
    <n v="11881.36"/>
  </r>
  <r>
    <x v="5"/>
    <x v="1"/>
    <x v="1"/>
    <x v="0"/>
    <x v="1"/>
    <x v="0"/>
    <n v="4646.76"/>
  </r>
  <r>
    <x v="0"/>
    <x v="0"/>
    <x v="3"/>
    <x v="0"/>
    <x v="1"/>
    <x v="2"/>
    <n v="2404.73"/>
  </r>
  <r>
    <x v="8"/>
    <x v="1"/>
    <x v="1"/>
    <x v="2"/>
    <x v="1"/>
    <x v="3"/>
    <n v="11488.32"/>
  </r>
  <r>
    <x v="6"/>
    <x v="1"/>
    <x v="0"/>
    <x v="0"/>
    <x v="1"/>
    <x v="3"/>
    <n v="30260"/>
  </r>
  <r>
    <x v="6"/>
    <x v="1"/>
    <x v="4"/>
    <x v="0"/>
    <x v="1"/>
    <x v="1"/>
    <n v="11381.33"/>
  </r>
  <r>
    <x v="2"/>
    <x v="0"/>
    <x v="0"/>
    <x v="1"/>
    <x v="0"/>
    <x v="1"/>
    <n v="19107.78"/>
  </r>
  <r>
    <x v="4"/>
    <x v="0"/>
    <x v="0"/>
    <x v="0"/>
    <x v="1"/>
    <x v="1"/>
    <n v="8601.33"/>
  </r>
  <r>
    <x v="5"/>
    <x v="0"/>
    <x v="2"/>
    <x v="3"/>
    <x v="1"/>
    <x v="2"/>
    <n v="6686.43"/>
  </r>
  <r>
    <x v="9"/>
    <x v="1"/>
    <x v="3"/>
    <x v="3"/>
    <x v="1"/>
    <x v="0"/>
    <n v="7740.34"/>
  </r>
  <r>
    <x v="1"/>
    <x v="1"/>
    <x v="2"/>
    <x v="0"/>
    <x v="1"/>
    <x v="3"/>
    <n v="1705.62"/>
  </r>
  <r>
    <x v="0"/>
    <x v="0"/>
    <x v="0"/>
    <x v="0"/>
    <x v="1"/>
    <x v="2"/>
    <n v="2257.48"/>
  </r>
  <r>
    <x v="9"/>
    <x v="1"/>
    <x v="1"/>
    <x v="1"/>
    <x v="0"/>
    <x v="3"/>
    <n v="39556.49"/>
  </r>
  <r>
    <x v="4"/>
    <x v="0"/>
    <x v="1"/>
    <x v="2"/>
    <x v="1"/>
    <x v="2"/>
    <n v="10115.01"/>
  </r>
  <r>
    <x v="2"/>
    <x v="0"/>
    <x v="0"/>
    <x v="0"/>
    <x v="1"/>
    <x v="3"/>
    <n v="3385.4"/>
  </r>
  <r>
    <x v="0"/>
    <x v="0"/>
    <x v="0"/>
    <x v="0"/>
    <x v="0"/>
    <x v="0"/>
    <n v="17081.080000000002"/>
  </r>
  <r>
    <x v="8"/>
    <x v="0"/>
    <x v="3"/>
    <x v="0"/>
    <x v="1"/>
    <x v="0"/>
    <n v="9634.5400000000009"/>
  </r>
  <r>
    <x v="3"/>
    <x v="0"/>
    <x v="5"/>
    <x v="3"/>
    <x v="0"/>
    <x v="2"/>
    <n v="32734.19"/>
  </r>
  <r>
    <x v="5"/>
    <x v="1"/>
    <x v="1"/>
    <x v="3"/>
    <x v="1"/>
    <x v="0"/>
    <n v="6082.4"/>
  </r>
  <r>
    <x v="6"/>
    <x v="0"/>
    <x v="0"/>
    <x v="0"/>
    <x v="1"/>
    <x v="3"/>
    <n v="12815.44"/>
  </r>
  <r>
    <x v="7"/>
    <x v="0"/>
    <x v="2"/>
    <x v="0"/>
    <x v="1"/>
    <x v="3"/>
    <n v="13616.36"/>
  </r>
  <r>
    <x v="8"/>
    <x v="0"/>
    <x v="3"/>
    <x v="3"/>
    <x v="1"/>
    <x v="0"/>
    <n v="11163.57"/>
  </r>
  <r>
    <x v="0"/>
    <x v="1"/>
    <x v="0"/>
    <x v="0"/>
    <x v="1"/>
    <x v="2"/>
    <n v="1632.56"/>
  </r>
  <r>
    <x v="0"/>
    <x v="0"/>
    <x v="0"/>
    <x v="0"/>
    <x v="1"/>
    <x v="3"/>
    <n v="2457.21"/>
  </r>
  <r>
    <x v="0"/>
    <x v="0"/>
    <x v="0"/>
    <x v="0"/>
    <x v="1"/>
    <x v="1"/>
    <n v="2155.6799999999998"/>
  </r>
  <r>
    <x v="0"/>
    <x v="1"/>
    <x v="1"/>
    <x v="0"/>
    <x v="1"/>
    <x v="0"/>
    <n v="1261.44"/>
  </r>
  <r>
    <x v="0"/>
    <x v="1"/>
    <x v="0"/>
    <x v="0"/>
    <x v="1"/>
    <x v="2"/>
    <n v="2045.69"/>
  </r>
  <r>
    <x v="8"/>
    <x v="0"/>
    <x v="1"/>
    <x v="2"/>
    <x v="1"/>
    <x v="1"/>
    <n v="27322.73"/>
  </r>
  <r>
    <x v="0"/>
    <x v="0"/>
    <x v="3"/>
    <x v="0"/>
    <x v="1"/>
    <x v="0"/>
    <n v="2166.73"/>
  </r>
  <r>
    <x v="3"/>
    <x v="1"/>
    <x v="2"/>
    <x v="3"/>
    <x v="1"/>
    <x v="3"/>
    <n v="27375.9"/>
  </r>
  <r>
    <x v="2"/>
    <x v="1"/>
    <x v="1"/>
    <x v="1"/>
    <x v="1"/>
    <x v="3"/>
    <n v="3490.55"/>
  </r>
  <r>
    <x v="3"/>
    <x v="1"/>
    <x v="0"/>
    <x v="3"/>
    <x v="0"/>
    <x v="1"/>
    <n v="18972.5"/>
  </r>
  <r>
    <x v="2"/>
    <x v="1"/>
    <x v="0"/>
    <x v="3"/>
    <x v="1"/>
    <x v="2"/>
    <n v="18157.88"/>
  </r>
  <r>
    <x v="2"/>
    <x v="1"/>
    <x v="0"/>
    <x v="2"/>
    <x v="0"/>
    <x v="2"/>
    <n v="20745.990000000002"/>
  </r>
  <r>
    <x v="2"/>
    <x v="0"/>
    <x v="3"/>
    <x v="2"/>
    <x v="1"/>
    <x v="1"/>
    <n v="5138.26"/>
  </r>
  <r>
    <x v="4"/>
    <x v="1"/>
    <x v="1"/>
    <x v="2"/>
    <x v="0"/>
    <x v="2"/>
    <n v="40720.550000000003"/>
  </r>
  <r>
    <x v="8"/>
    <x v="0"/>
    <x v="3"/>
    <x v="1"/>
    <x v="1"/>
    <x v="1"/>
    <n v="9877.61"/>
  </r>
  <r>
    <x v="8"/>
    <x v="0"/>
    <x v="3"/>
    <x v="1"/>
    <x v="1"/>
    <x v="2"/>
    <n v="10959.69"/>
  </r>
  <r>
    <x v="0"/>
    <x v="1"/>
    <x v="0"/>
    <x v="1"/>
    <x v="1"/>
    <x v="0"/>
    <n v="1842.52"/>
  </r>
  <r>
    <x v="3"/>
    <x v="1"/>
    <x v="2"/>
    <x v="1"/>
    <x v="1"/>
    <x v="2"/>
    <n v="5125.22"/>
  </r>
  <r>
    <x v="4"/>
    <x v="1"/>
    <x v="0"/>
    <x v="0"/>
    <x v="1"/>
    <x v="1"/>
    <n v="7789.64"/>
  </r>
  <r>
    <x v="3"/>
    <x v="0"/>
    <x v="3"/>
    <x v="2"/>
    <x v="1"/>
    <x v="3"/>
    <n v="6334.34"/>
  </r>
  <r>
    <x v="9"/>
    <x v="0"/>
    <x v="2"/>
    <x v="0"/>
    <x v="0"/>
    <x v="3"/>
    <n v="19964.75"/>
  </r>
  <r>
    <x v="5"/>
    <x v="0"/>
    <x v="0"/>
    <x v="1"/>
    <x v="1"/>
    <x v="3"/>
    <n v="7077.19"/>
  </r>
  <r>
    <x v="9"/>
    <x v="1"/>
    <x v="3"/>
    <x v="0"/>
    <x v="1"/>
    <x v="2"/>
    <n v="6948.7"/>
  </r>
  <r>
    <x v="4"/>
    <x v="1"/>
    <x v="2"/>
    <x v="0"/>
    <x v="0"/>
    <x v="1"/>
    <n v="21223.68"/>
  </r>
  <r>
    <x v="1"/>
    <x v="1"/>
    <x v="0"/>
    <x v="0"/>
    <x v="0"/>
    <x v="3"/>
    <n v="15518.18"/>
  </r>
  <r>
    <x v="2"/>
    <x v="1"/>
    <x v="3"/>
    <x v="0"/>
    <x v="0"/>
    <x v="1"/>
    <n v="36950.26"/>
  </r>
  <r>
    <x v="4"/>
    <x v="0"/>
    <x v="0"/>
    <x v="2"/>
    <x v="1"/>
    <x v="1"/>
    <n v="19749.38"/>
  </r>
  <r>
    <x v="9"/>
    <x v="0"/>
    <x v="0"/>
    <x v="0"/>
    <x v="0"/>
    <x v="2"/>
    <n v="21348.71"/>
  </r>
  <r>
    <x v="1"/>
    <x v="0"/>
    <x v="3"/>
    <x v="0"/>
    <x v="0"/>
    <x v="1"/>
    <n v="36149.480000000003"/>
  </r>
  <r>
    <x v="8"/>
    <x v="1"/>
    <x v="3"/>
    <x v="1"/>
    <x v="1"/>
    <x v="0"/>
    <n v="10450.549999999999"/>
  </r>
  <r>
    <x v="3"/>
    <x v="0"/>
    <x v="0"/>
    <x v="3"/>
    <x v="1"/>
    <x v="0"/>
    <n v="5152.13"/>
  </r>
  <r>
    <x v="5"/>
    <x v="1"/>
    <x v="0"/>
    <x v="0"/>
    <x v="1"/>
    <x v="2"/>
    <n v="5028.1499999999996"/>
  </r>
  <r>
    <x v="4"/>
    <x v="1"/>
    <x v="0"/>
    <x v="5"/>
    <x v="1"/>
    <x v="3"/>
    <n v="10407.09"/>
  </r>
  <r>
    <x v="0"/>
    <x v="0"/>
    <x v="3"/>
    <x v="4"/>
    <x v="1"/>
    <x v="0"/>
    <n v="4830.63"/>
  </r>
  <r>
    <x v="3"/>
    <x v="0"/>
    <x v="1"/>
    <x v="2"/>
    <x v="1"/>
    <x v="2"/>
    <n v="6128.8"/>
  </r>
  <r>
    <x v="0"/>
    <x v="0"/>
    <x v="1"/>
    <x v="1"/>
    <x v="1"/>
    <x v="2"/>
    <n v="2719.28"/>
  </r>
  <r>
    <x v="2"/>
    <x v="1"/>
    <x v="2"/>
    <x v="2"/>
    <x v="1"/>
    <x v="3"/>
    <n v="4827.8999999999996"/>
  </r>
  <r>
    <x v="7"/>
    <x v="1"/>
    <x v="4"/>
    <x v="0"/>
    <x v="1"/>
    <x v="1"/>
    <n v="13405.39"/>
  </r>
  <r>
    <x v="4"/>
    <x v="1"/>
    <x v="1"/>
    <x v="0"/>
    <x v="1"/>
    <x v="0"/>
    <n v="8116.68"/>
  </r>
  <r>
    <x v="1"/>
    <x v="1"/>
    <x v="5"/>
    <x v="0"/>
    <x v="1"/>
    <x v="3"/>
    <n v="1694.8"/>
  </r>
  <r>
    <x v="3"/>
    <x v="0"/>
    <x v="1"/>
    <x v="1"/>
    <x v="1"/>
    <x v="0"/>
    <n v="5246.05"/>
  </r>
  <r>
    <x v="0"/>
    <x v="0"/>
    <x v="1"/>
    <x v="0"/>
    <x v="1"/>
    <x v="2"/>
    <n v="2855.44"/>
  </r>
  <r>
    <x v="7"/>
    <x v="0"/>
    <x v="3"/>
    <x v="0"/>
    <x v="0"/>
    <x v="0"/>
    <n v="48824.45"/>
  </r>
  <r>
    <x v="5"/>
    <x v="1"/>
    <x v="0"/>
    <x v="3"/>
    <x v="1"/>
    <x v="2"/>
    <n v="6455.86"/>
  </r>
  <r>
    <x v="8"/>
    <x v="1"/>
    <x v="0"/>
    <x v="1"/>
    <x v="1"/>
    <x v="0"/>
    <n v="10436.1"/>
  </r>
  <r>
    <x v="4"/>
    <x v="0"/>
    <x v="0"/>
    <x v="3"/>
    <x v="1"/>
    <x v="0"/>
    <n v="8823.2800000000007"/>
  </r>
  <r>
    <x v="9"/>
    <x v="0"/>
    <x v="1"/>
    <x v="2"/>
    <x v="1"/>
    <x v="3"/>
    <n v="8538.2900000000009"/>
  </r>
  <r>
    <x v="6"/>
    <x v="1"/>
    <x v="0"/>
    <x v="0"/>
    <x v="1"/>
    <x v="2"/>
    <n v="11735.88"/>
  </r>
  <r>
    <x v="1"/>
    <x v="0"/>
    <x v="3"/>
    <x v="0"/>
    <x v="1"/>
    <x v="1"/>
    <n v="1631.82"/>
  </r>
  <r>
    <x v="0"/>
    <x v="1"/>
    <x v="2"/>
    <x v="2"/>
    <x v="1"/>
    <x v="3"/>
    <n v="4005.42"/>
  </r>
  <r>
    <x v="9"/>
    <x v="0"/>
    <x v="0"/>
    <x v="0"/>
    <x v="1"/>
    <x v="2"/>
    <n v="7419.48"/>
  </r>
  <r>
    <x v="9"/>
    <x v="1"/>
    <x v="1"/>
    <x v="3"/>
    <x v="1"/>
    <x v="1"/>
    <n v="7731.43"/>
  </r>
  <r>
    <x v="5"/>
    <x v="1"/>
    <x v="4"/>
    <x v="2"/>
    <x v="0"/>
    <x v="3"/>
    <n v="43753.34"/>
  </r>
  <r>
    <x v="2"/>
    <x v="0"/>
    <x v="1"/>
    <x v="3"/>
    <x v="1"/>
    <x v="1"/>
    <n v="3981.98"/>
  </r>
  <r>
    <x v="2"/>
    <x v="0"/>
    <x v="1"/>
    <x v="2"/>
    <x v="1"/>
    <x v="0"/>
    <n v="5325.65"/>
  </r>
  <r>
    <x v="9"/>
    <x v="0"/>
    <x v="1"/>
    <x v="1"/>
    <x v="1"/>
    <x v="0"/>
    <n v="6775.96"/>
  </r>
  <r>
    <x v="2"/>
    <x v="0"/>
    <x v="1"/>
    <x v="3"/>
    <x v="1"/>
    <x v="2"/>
    <n v="4922.92"/>
  </r>
  <r>
    <x v="7"/>
    <x v="1"/>
    <x v="1"/>
    <x v="0"/>
    <x v="1"/>
    <x v="1"/>
    <n v="12557.61"/>
  </r>
  <r>
    <x v="5"/>
    <x v="0"/>
    <x v="0"/>
    <x v="0"/>
    <x v="1"/>
    <x v="0"/>
    <n v="4883.87"/>
  </r>
  <r>
    <x v="0"/>
    <x v="1"/>
    <x v="0"/>
    <x v="0"/>
    <x v="1"/>
    <x v="1"/>
    <n v="2137.65"/>
  </r>
  <r>
    <x v="6"/>
    <x v="0"/>
    <x v="0"/>
    <x v="1"/>
    <x v="1"/>
    <x v="2"/>
    <n v="12044.34"/>
  </r>
  <r>
    <x v="1"/>
    <x v="1"/>
    <x v="1"/>
    <x v="0"/>
    <x v="1"/>
    <x v="1"/>
    <n v="1137.47"/>
  </r>
  <r>
    <x v="0"/>
    <x v="1"/>
    <x v="1"/>
    <x v="0"/>
    <x v="1"/>
    <x v="2"/>
    <n v="1639.56"/>
  </r>
  <r>
    <x v="5"/>
    <x v="0"/>
    <x v="1"/>
    <x v="0"/>
    <x v="1"/>
    <x v="0"/>
    <n v="5649.72"/>
  </r>
  <r>
    <x v="9"/>
    <x v="0"/>
    <x v="0"/>
    <x v="3"/>
    <x v="1"/>
    <x v="1"/>
    <n v="8516.83"/>
  </r>
  <r>
    <x v="8"/>
    <x v="0"/>
    <x v="5"/>
    <x v="0"/>
    <x v="1"/>
    <x v="2"/>
    <n v="9644.25"/>
  </r>
  <r>
    <x v="7"/>
    <x v="0"/>
    <x v="3"/>
    <x v="0"/>
    <x v="1"/>
    <x v="3"/>
    <n v="14901.52"/>
  </r>
  <r>
    <x v="0"/>
    <x v="0"/>
    <x v="1"/>
    <x v="0"/>
    <x v="1"/>
    <x v="2"/>
    <n v="2130.6799999999998"/>
  </r>
  <r>
    <x v="4"/>
    <x v="0"/>
    <x v="1"/>
    <x v="1"/>
    <x v="1"/>
    <x v="1"/>
    <n v="8871.15"/>
  </r>
  <r>
    <x v="6"/>
    <x v="0"/>
    <x v="2"/>
    <x v="0"/>
    <x v="1"/>
    <x v="2"/>
    <n v="13012.21"/>
  </r>
  <r>
    <x v="2"/>
    <x v="0"/>
    <x v="3"/>
    <x v="0"/>
    <x v="0"/>
    <x v="1"/>
    <n v="37133.9"/>
  </r>
  <r>
    <x v="4"/>
    <x v="1"/>
    <x v="2"/>
    <x v="0"/>
    <x v="1"/>
    <x v="0"/>
    <n v="7147.1"/>
  </r>
  <r>
    <x v="2"/>
    <x v="0"/>
    <x v="0"/>
    <x v="1"/>
    <x v="1"/>
    <x v="3"/>
    <n v="4337.74"/>
  </r>
  <r>
    <x v="6"/>
    <x v="1"/>
    <x v="0"/>
    <x v="0"/>
    <x v="1"/>
    <x v="1"/>
    <n v="11743.3"/>
  </r>
  <r>
    <x v="3"/>
    <x v="1"/>
    <x v="0"/>
    <x v="3"/>
    <x v="0"/>
    <x v="3"/>
    <n v="20984.09"/>
  </r>
  <r>
    <x v="7"/>
    <x v="0"/>
    <x v="1"/>
    <x v="0"/>
    <x v="1"/>
    <x v="0"/>
    <n v="13880.95"/>
  </r>
  <r>
    <x v="5"/>
    <x v="1"/>
    <x v="4"/>
    <x v="1"/>
    <x v="1"/>
    <x v="3"/>
    <n v="6610.11"/>
  </r>
  <r>
    <x v="0"/>
    <x v="1"/>
    <x v="1"/>
    <x v="1"/>
    <x v="1"/>
    <x v="0"/>
    <n v="1980.07"/>
  </r>
  <r>
    <x v="5"/>
    <x v="1"/>
    <x v="1"/>
    <x v="5"/>
    <x v="1"/>
    <x v="2"/>
    <n v="8162.72"/>
  </r>
  <r>
    <x v="0"/>
    <x v="1"/>
    <x v="0"/>
    <x v="3"/>
    <x v="1"/>
    <x v="2"/>
    <n v="3537.7"/>
  </r>
  <r>
    <x v="3"/>
    <x v="0"/>
    <x v="0"/>
    <x v="1"/>
    <x v="1"/>
    <x v="1"/>
    <n v="5002.78"/>
  </r>
  <r>
    <x v="9"/>
    <x v="0"/>
    <x v="1"/>
    <x v="3"/>
    <x v="1"/>
    <x v="0"/>
    <n v="8520.0300000000007"/>
  </r>
  <r>
    <x v="9"/>
    <x v="0"/>
    <x v="3"/>
    <x v="3"/>
    <x v="1"/>
    <x v="0"/>
    <n v="7371.77"/>
  </r>
  <r>
    <x v="8"/>
    <x v="0"/>
    <x v="0"/>
    <x v="0"/>
    <x v="1"/>
    <x v="2"/>
    <n v="10355.64"/>
  </r>
  <r>
    <x v="2"/>
    <x v="1"/>
    <x v="2"/>
    <x v="0"/>
    <x v="1"/>
    <x v="1"/>
    <n v="2483.7399999999998"/>
  </r>
  <r>
    <x v="2"/>
    <x v="0"/>
    <x v="1"/>
    <x v="1"/>
    <x v="1"/>
    <x v="1"/>
    <n v="3392.98"/>
  </r>
  <r>
    <x v="0"/>
    <x v="0"/>
    <x v="2"/>
    <x v="0"/>
    <x v="1"/>
    <x v="1"/>
    <n v="25081.77"/>
  </r>
  <r>
    <x v="3"/>
    <x v="0"/>
    <x v="1"/>
    <x v="1"/>
    <x v="1"/>
    <x v="0"/>
    <n v="5012.47"/>
  </r>
  <r>
    <x v="8"/>
    <x v="0"/>
    <x v="1"/>
    <x v="0"/>
    <x v="1"/>
    <x v="3"/>
    <n v="10564.88"/>
  </r>
  <r>
    <x v="3"/>
    <x v="1"/>
    <x v="1"/>
    <x v="2"/>
    <x v="1"/>
    <x v="0"/>
    <n v="5253.52"/>
  </r>
  <r>
    <x v="0"/>
    <x v="1"/>
    <x v="1"/>
    <x v="0"/>
    <x v="0"/>
    <x v="0"/>
    <n v="34779.620000000003"/>
  </r>
  <r>
    <x v="9"/>
    <x v="1"/>
    <x v="2"/>
    <x v="0"/>
    <x v="0"/>
    <x v="1"/>
    <n v="19515.54"/>
  </r>
  <r>
    <x v="8"/>
    <x v="1"/>
    <x v="1"/>
    <x v="2"/>
    <x v="1"/>
    <x v="1"/>
    <n v="11987.17"/>
  </r>
  <r>
    <x v="2"/>
    <x v="1"/>
    <x v="3"/>
    <x v="0"/>
    <x v="1"/>
    <x v="1"/>
    <n v="2689.5"/>
  </r>
  <r>
    <x v="6"/>
    <x v="0"/>
    <x v="4"/>
    <x v="0"/>
    <x v="1"/>
    <x v="1"/>
    <n v="24227.34"/>
  </r>
  <r>
    <x v="9"/>
    <x v="0"/>
    <x v="1"/>
    <x v="1"/>
    <x v="1"/>
    <x v="3"/>
    <n v="7358.18"/>
  </r>
  <r>
    <x v="4"/>
    <x v="1"/>
    <x v="0"/>
    <x v="3"/>
    <x v="1"/>
    <x v="3"/>
    <n v="9225.26"/>
  </r>
  <r>
    <x v="9"/>
    <x v="0"/>
    <x v="3"/>
    <x v="1"/>
    <x v="1"/>
    <x v="2"/>
    <n v="7443.64"/>
  </r>
  <r>
    <x v="6"/>
    <x v="0"/>
    <x v="0"/>
    <x v="2"/>
    <x v="1"/>
    <x v="1"/>
    <n v="14001.29"/>
  </r>
  <r>
    <x v="0"/>
    <x v="0"/>
    <x v="5"/>
    <x v="0"/>
    <x v="1"/>
    <x v="0"/>
    <n v="1727.78"/>
  </r>
  <r>
    <x v="6"/>
    <x v="1"/>
    <x v="0"/>
    <x v="1"/>
    <x v="1"/>
    <x v="0"/>
    <n v="12333.83"/>
  </r>
  <r>
    <x v="5"/>
    <x v="1"/>
    <x v="2"/>
    <x v="3"/>
    <x v="1"/>
    <x v="2"/>
    <n v="6710.19"/>
  </r>
  <r>
    <x v="5"/>
    <x v="0"/>
    <x v="2"/>
    <x v="3"/>
    <x v="0"/>
    <x v="1"/>
    <n v="19444.27"/>
  </r>
  <r>
    <x v="1"/>
    <x v="0"/>
    <x v="0"/>
    <x v="0"/>
    <x v="1"/>
    <x v="1"/>
    <n v="1615.77"/>
  </r>
  <r>
    <x v="3"/>
    <x v="1"/>
    <x v="3"/>
    <x v="3"/>
    <x v="1"/>
    <x v="1"/>
    <n v="4463.21"/>
  </r>
  <r>
    <x v="0"/>
    <x v="1"/>
    <x v="0"/>
    <x v="0"/>
    <x v="0"/>
    <x v="2"/>
    <n v="17352.68"/>
  </r>
  <r>
    <x v="9"/>
    <x v="1"/>
    <x v="3"/>
    <x v="1"/>
    <x v="1"/>
    <x v="1"/>
    <n v="7152.67"/>
  </r>
  <r>
    <x v="0"/>
    <x v="0"/>
    <x v="3"/>
    <x v="3"/>
    <x v="0"/>
    <x v="3"/>
    <n v="38511.629999999997"/>
  </r>
  <r>
    <x v="3"/>
    <x v="0"/>
    <x v="2"/>
    <x v="1"/>
    <x v="1"/>
    <x v="3"/>
    <n v="5354.07"/>
  </r>
  <r>
    <x v="8"/>
    <x v="0"/>
    <x v="0"/>
    <x v="1"/>
    <x v="1"/>
    <x v="0"/>
    <n v="35160.129999999997"/>
  </r>
  <r>
    <x v="5"/>
    <x v="1"/>
    <x v="3"/>
    <x v="2"/>
    <x v="1"/>
    <x v="0"/>
    <n v="7196.87"/>
  </r>
  <r>
    <x v="7"/>
    <x v="0"/>
    <x v="0"/>
    <x v="0"/>
    <x v="0"/>
    <x v="3"/>
    <n v="29523.17"/>
  </r>
  <r>
    <x v="8"/>
    <x v="1"/>
    <x v="1"/>
    <x v="0"/>
    <x v="1"/>
    <x v="2"/>
    <n v="24476.48"/>
  </r>
  <r>
    <x v="6"/>
    <x v="0"/>
    <x v="3"/>
    <x v="0"/>
    <x v="1"/>
    <x v="1"/>
    <n v="12648.7"/>
  </r>
  <r>
    <x v="0"/>
    <x v="1"/>
    <x v="3"/>
    <x v="0"/>
    <x v="1"/>
    <x v="1"/>
    <n v="1986.93"/>
  </r>
  <r>
    <x v="0"/>
    <x v="1"/>
    <x v="2"/>
    <x v="1"/>
    <x v="1"/>
    <x v="0"/>
    <n v="1832.09"/>
  </r>
  <r>
    <x v="2"/>
    <x v="1"/>
    <x v="0"/>
    <x v="1"/>
    <x v="1"/>
    <x v="3"/>
    <n v="4040.56"/>
  </r>
  <r>
    <x v="1"/>
    <x v="1"/>
    <x v="5"/>
    <x v="3"/>
    <x v="0"/>
    <x v="3"/>
    <n v="12829.46"/>
  </r>
  <r>
    <x v="7"/>
    <x v="0"/>
    <x v="1"/>
    <x v="3"/>
    <x v="0"/>
    <x v="0"/>
    <n v="47305.3"/>
  </r>
  <r>
    <x v="8"/>
    <x v="1"/>
    <x v="1"/>
    <x v="3"/>
    <x v="0"/>
    <x v="1"/>
    <n v="44260.75"/>
  </r>
  <r>
    <x v="2"/>
    <x v="1"/>
    <x v="1"/>
    <x v="2"/>
    <x v="1"/>
    <x v="0"/>
    <n v="4260.74"/>
  </r>
  <r>
    <x v="4"/>
    <x v="1"/>
    <x v="1"/>
    <x v="0"/>
    <x v="0"/>
    <x v="3"/>
    <n v="41097.160000000003"/>
  </r>
  <r>
    <x v="8"/>
    <x v="0"/>
    <x v="0"/>
    <x v="2"/>
    <x v="1"/>
    <x v="3"/>
    <n v="13047.33"/>
  </r>
  <r>
    <x v="6"/>
    <x v="1"/>
    <x v="1"/>
    <x v="0"/>
    <x v="0"/>
    <x v="2"/>
    <n v="43921.18"/>
  </r>
  <r>
    <x v="5"/>
    <x v="0"/>
    <x v="4"/>
    <x v="0"/>
    <x v="1"/>
    <x v="1"/>
    <n v="5400.98"/>
  </r>
  <r>
    <x v="8"/>
    <x v="1"/>
    <x v="2"/>
    <x v="5"/>
    <x v="1"/>
    <x v="2"/>
    <n v="11520.1"/>
  </r>
  <r>
    <x v="0"/>
    <x v="1"/>
    <x v="1"/>
    <x v="0"/>
    <x v="0"/>
    <x v="2"/>
    <n v="33750.29"/>
  </r>
  <r>
    <x v="6"/>
    <x v="0"/>
    <x v="0"/>
    <x v="0"/>
    <x v="1"/>
    <x v="0"/>
    <n v="11837.16"/>
  </r>
  <r>
    <x v="0"/>
    <x v="0"/>
    <x v="0"/>
    <x v="1"/>
    <x v="0"/>
    <x v="1"/>
    <n v="17085.27"/>
  </r>
  <r>
    <x v="8"/>
    <x v="1"/>
    <x v="2"/>
    <x v="2"/>
    <x v="0"/>
    <x v="3"/>
    <n v="24869.84"/>
  </r>
  <r>
    <x v="0"/>
    <x v="1"/>
    <x v="3"/>
    <x v="0"/>
    <x v="0"/>
    <x v="2"/>
    <n v="36219.410000000003"/>
  </r>
  <r>
    <x v="8"/>
    <x v="0"/>
    <x v="3"/>
    <x v="2"/>
    <x v="1"/>
    <x v="1"/>
    <n v="20463"/>
  </r>
  <r>
    <x v="4"/>
    <x v="1"/>
    <x v="4"/>
    <x v="2"/>
    <x v="0"/>
    <x v="1"/>
    <n v="46151.12"/>
  </r>
  <r>
    <x v="5"/>
    <x v="1"/>
    <x v="2"/>
    <x v="1"/>
    <x v="0"/>
    <x v="1"/>
    <n v="17179.52"/>
  </r>
  <r>
    <x v="6"/>
    <x v="0"/>
    <x v="1"/>
    <x v="2"/>
    <x v="1"/>
    <x v="3"/>
    <n v="14590.63"/>
  </r>
  <r>
    <x v="9"/>
    <x v="1"/>
    <x v="1"/>
    <x v="1"/>
    <x v="1"/>
    <x v="0"/>
    <n v="7441.05"/>
  </r>
  <r>
    <x v="4"/>
    <x v="1"/>
    <x v="0"/>
    <x v="1"/>
    <x v="1"/>
    <x v="3"/>
    <n v="9282.48"/>
  </r>
  <r>
    <x v="1"/>
    <x v="1"/>
    <x v="0"/>
    <x v="1"/>
    <x v="1"/>
    <x v="1"/>
    <n v="1719.44"/>
  </r>
  <r>
    <x v="4"/>
    <x v="1"/>
    <x v="1"/>
    <x v="3"/>
    <x v="0"/>
    <x v="0"/>
    <n v="42856.84"/>
  </r>
  <r>
    <x v="9"/>
    <x v="1"/>
    <x v="3"/>
    <x v="3"/>
    <x v="1"/>
    <x v="2"/>
    <n v="7265.7"/>
  </r>
  <r>
    <x v="4"/>
    <x v="1"/>
    <x v="0"/>
    <x v="1"/>
    <x v="1"/>
    <x v="3"/>
    <n v="9617.66"/>
  </r>
  <r>
    <x v="0"/>
    <x v="1"/>
    <x v="0"/>
    <x v="0"/>
    <x v="1"/>
    <x v="2"/>
    <n v="2523.17"/>
  </r>
  <r>
    <x v="4"/>
    <x v="0"/>
    <x v="0"/>
    <x v="3"/>
    <x v="1"/>
    <x v="3"/>
    <n v="9715.84"/>
  </r>
  <r>
    <x v="0"/>
    <x v="1"/>
    <x v="2"/>
    <x v="3"/>
    <x v="1"/>
    <x v="2"/>
    <n v="2803.7"/>
  </r>
  <r>
    <x v="0"/>
    <x v="0"/>
    <x v="2"/>
    <x v="0"/>
    <x v="1"/>
    <x v="0"/>
    <n v="2150.4699999999998"/>
  </r>
  <r>
    <x v="6"/>
    <x v="1"/>
    <x v="1"/>
    <x v="3"/>
    <x v="1"/>
    <x v="1"/>
    <n v="12928.79"/>
  </r>
  <r>
    <x v="8"/>
    <x v="0"/>
    <x v="2"/>
    <x v="1"/>
    <x v="1"/>
    <x v="1"/>
    <n v="9855.1299999999992"/>
  </r>
  <r>
    <x v="5"/>
    <x v="0"/>
    <x v="0"/>
    <x v="1"/>
    <x v="0"/>
    <x v="3"/>
    <n v="22331.57"/>
  </r>
  <r>
    <x v="8"/>
    <x v="1"/>
    <x v="4"/>
    <x v="2"/>
    <x v="0"/>
    <x v="3"/>
    <n v="48549.18"/>
  </r>
  <r>
    <x v="2"/>
    <x v="1"/>
    <x v="0"/>
    <x v="1"/>
    <x v="1"/>
    <x v="3"/>
    <n v="4237.13"/>
  </r>
  <r>
    <x v="8"/>
    <x v="0"/>
    <x v="1"/>
    <x v="1"/>
    <x v="1"/>
    <x v="3"/>
    <n v="11879.1"/>
  </r>
  <r>
    <x v="8"/>
    <x v="0"/>
    <x v="1"/>
    <x v="0"/>
    <x v="1"/>
    <x v="0"/>
    <n v="9625.92"/>
  </r>
  <r>
    <x v="4"/>
    <x v="1"/>
    <x v="0"/>
    <x v="1"/>
    <x v="1"/>
    <x v="1"/>
    <n v="7742.11"/>
  </r>
  <r>
    <x v="4"/>
    <x v="0"/>
    <x v="4"/>
    <x v="3"/>
    <x v="1"/>
    <x v="3"/>
    <n v="9432.93"/>
  </r>
  <r>
    <x v="7"/>
    <x v="0"/>
    <x v="0"/>
    <x v="0"/>
    <x v="1"/>
    <x v="2"/>
    <n v="14256.19"/>
  </r>
  <r>
    <x v="6"/>
    <x v="0"/>
    <x v="3"/>
    <x v="1"/>
    <x v="0"/>
    <x v="3"/>
    <n v="47896.79"/>
  </r>
  <r>
    <x v="8"/>
    <x v="1"/>
    <x v="0"/>
    <x v="2"/>
    <x v="1"/>
    <x v="1"/>
    <n v="25992.82"/>
  </r>
  <r>
    <x v="2"/>
    <x v="0"/>
    <x v="1"/>
    <x v="0"/>
    <x v="1"/>
    <x v="0"/>
    <n v="3172.02"/>
  </r>
  <r>
    <x v="2"/>
    <x v="1"/>
    <x v="0"/>
    <x v="1"/>
    <x v="1"/>
    <x v="3"/>
    <n v="20277.810000000001"/>
  </r>
  <r>
    <x v="0"/>
    <x v="1"/>
    <x v="4"/>
    <x v="3"/>
    <x v="0"/>
    <x v="1"/>
    <n v="42112.24"/>
  </r>
  <r>
    <x v="0"/>
    <x v="0"/>
    <x v="0"/>
    <x v="0"/>
    <x v="1"/>
    <x v="1"/>
    <n v="2156.75"/>
  </r>
  <r>
    <x v="0"/>
    <x v="1"/>
    <x v="0"/>
    <x v="2"/>
    <x v="1"/>
    <x v="0"/>
    <n v="3906.13"/>
  </r>
  <r>
    <x v="1"/>
    <x v="1"/>
    <x v="2"/>
    <x v="0"/>
    <x v="1"/>
    <x v="3"/>
    <n v="1704.57"/>
  </r>
  <r>
    <x v="0"/>
    <x v="1"/>
    <x v="0"/>
    <x v="0"/>
    <x v="0"/>
    <x v="0"/>
    <n v="16297.85"/>
  </r>
  <r>
    <x v="4"/>
    <x v="1"/>
    <x v="0"/>
    <x v="1"/>
    <x v="0"/>
    <x v="1"/>
    <n v="21978.68"/>
  </r>
  <r>
    <x v="3"/>
    <x v="1"/>
    <x v="1"/>
    <x v="2"/>
    <x v="0"/>
    <x v="2"/>
    <n v="38746.36"/>
  </r>
  <r>
    <x v="4"/>
    <x v="0"/>
    <x v="0"/>
    <x v="1"/>
    <x v="1"/>
    <x v="2"/>
    <n v="9249.5"/>
  </r>
  <r>
    <x v="5"/>
    <x v="1"/>
    <x v="0"/>
    <x v="2"/>
    <x v="1"/>
    <x v="3"/>
    <n v="6746.74"/>
  </r>
  <r>
    <x v="8"/>
    <x v="0"/>
    <x v="2"/>
    <x v="2"/>
    <x v="0"/>
    <x v="3"/>
    <n v="24873.38"/>
  </r>
  <r>
    <x v="6"/>
    <x v="0"/>
    <x v="3"/>
    <x v="3"/>
    <x v="1"/>
    <x v="1"/>
    <n v="12265.51"/>
  </r>
  <r>
    <x v="2"/>
    <x v="0"/>
    <x v="1"/>
    <x v="3"/>
    <x v="1"/>
    <x v="1"/>
    <n v="4349.46"/>
  </r>
  <r>
    <x v="6"/>
    <x v="0"/>
    <x v="3"/>
    <x v="3"/>
    <x v="1"/>
    <x v="0"/>
    <n v="12646.21"/>
  </r>
  <r>
    <x v="2"/>
    <x v="1"/>
    <x v="1"/>
    <x v="3"/>
    <x v="1"/>
    <x v="2"/>
    <n v="19442.349999999999"/>
  </r>
  <r>
    <x v="2"/>
    <x v="0"/>
    <x v="0"/>
    <x v="3"/>
    <x v="1"/>
    <x v="0"/>
    <n v="20177.669999999998"/>
  </r>
  <r>
    <x v="2"/>
    <x v="0"/>
    <x v="1"/>
    <x v="1"/>
    <x v="1"/>
    <x v="1"/>
    <n v="4151.03"/>
  </r>
  <r>
    <x v="6"/>
    <x v="1"/>
    <x v="1"/>
    <x v="0"/>
    <x v="1"/>
    <x v="3"/>
    <n v="11944.59"/>
  </r>
  <r>
    <x v="9"/>
    <x v="0"/>
    <x v="1"/>
    <x v="3"/>
    <x v="1"/>
    <x v="2"/>
    <n v="7749.16"/>
  </r>
  <r>
    <x v="4"/>
    <x v="1"/>
    <x v="0"/>
    <x v="0"/>
    <x v="1"/>
    <x v="0"/>
    <n v="8444.4699999999993"/>
  </r>
  <r>
    <x v="0"/>
    <x v="0"/>
    <x v="2"/>
    <x v="0"/>
    <x v="1"/>
    <x v="0"/>
    <n v="1737.38"/>
  </r>
  <r>
    <x v="9"/>
    <x v="1"/>
    <x v="3"/>
    <x v="2"/>
    <x v="0"/>
    <x v="1"/>
    <n v="42124.52"/>
  </r>
  <r>
    <x v="4"/>
    <x v="1"/>
    <x v="3"/>
    <x v="0"/>
    <x v="1"/>
    <x v="1"/>
    <n v="8124.41"/>
  </r>
  <r>
    <x v="2"/>
    <x v="0"/>
    <x v="1"/>
    <x v="0"/>
    <x v="0"/>
    <x v="0"/>
    <n v="34838.870000000003"/>
  </r>
  <r>
    <x v="8"/>
    <x v="1"/>
    <x v="1"/>
    <x v="0"/>
    <x v="1"/>
    <x v="3"/>
    <n v="9722.77"/>
  </r>
  <r>
    <x v="4"/>
    <x v="1"/>
    <x v="1"/>
    <x v="0"/>
    <x v="1"/>
    <x v="2"/>
    <n v="8835.26"/>
  </r>
  <r>
    <x v="8"/>
    <x v="1"/>
    <x v="1"/>
    <x v="0"/>
    <x v="1"/>
    <x v="3"/>
    <n v="10435.07"/>
  </r>
  <r>
    <x v="9"/>
    <x v="0"/>
    <x v="0"/>
    <x v="0"/>
    <x v="1"/>
    <x v="2"/>
    <n v="7421.19"/>
  </r>
  <r>
    <x v="3"/>
    <x v="1"/>
    <x v="3"/>
    <x v="1"/>
    <x v="1"/>
    <x v="3"/>
    <n v="4667.6099999999997"/>
  </r>
  <r>
    <x v="3"/>
    <x v="1"/>
    <x v="0"/>
    <x v="1"/>
    <x v="1"/>
    <x v="2"/>
    <n v="4894.75"/>
  </r>
  <r>
    <x v="2"/>
    <x v="0"/>
    <x v="0"/>
    <x v="5"/>
    <x v="1"/>
    <x v="3"/>
    <n v="24671.66"/>
  </r>
  <r>
    <x v="3"/>
    <x v="1"/>
    <x v="1"/>
    <x v="0"/>
    <x v="0"/>
    <x v="0"/>
    <n v="35491.64"/>
  </r>
  <r>
    <x v="6"/>
    <x v="1"/>
    <x v="4"/>
    <x v="0"/>
    <x v="1"/>
    <x v="3"/>
    <n v="11566.3"/>
  </r>
  <r>
    <x v="2"/>
    <x v="1"/>
    <x v="0"/>
    <x v="0"/>
    <x v="1"/>
    <x v="0"/>
    <n v="2866.09"/>
  </r>
  <r>
    <x v="5"/>
    <x v="1"/>
    <x v="1"/>
    <x v="1"/>
    <x v="1"/>
    <x v="3"/>
    <n v="6600.21"/>
  </r>
  <r>
    <x v="2"/>
    <x v="0"/>
    <x v="2"/>
    <x v="1"/>
    <x v="1"/>
    <x v="1"/>
    <n v="3561.89"/>
  </r>
  <r>
    <x v="9"/>
    <x v="1"/>
    <x v="3"/>
    <x v="3"/>
    <x v="0"/>
    <x v="2"/>
    <n v="42760.5"/>
  </r>
  <r>
    <x v="7"/>
    <x v="0"/>
    <x v="1"/>
    <x v="1"/>
    <x v="0"/>
    <x v="0"/>
    <n v="47928.03"/>
  </r>
  <r>
    <x v="8"/>
    <x v="1"/>
    <x v="3"/>
    <x v="0"/>
    <x v="1"/>
    <x v="0"/>
    <n v="9144.56"/>
  </r>
  <r>
    <x v="7"/>
    <x v="0"/>
    <x v="3"/>
    <x v="1"/>
    <x v="0"/>
    <x v="3"/>
    <n v="48517.56"/>
  </r>
  <r>
    <x v="8"/>
    <x v="1"/>
    <x v="0"/>
    <x v="0"/>
    <x v="0"/>
    <x v="2"/>
    <n v="24393.62"/>
  </r>
  <r>
    <x v="7"/>
    <x v="0"/>
    <x v="1"/>
    <x v="0"/>
    <x v="1"/>
    <x v="2"/>
    <n v="13429.04"/>
  </r>
  <r>
    <x v="6"/>
    <x v="0"/>
    <x v="0"/>
    <x v="0"/>
    <x v="1"/>
    <x v="3"/>
    <n v="11658.38"/>
  </r>
  <r>
    <x v="9"/>
    <x v="0"/>
    <x v="3"/>
    <x v="3"/>
    <x v="1"/>
    <x v="3"/>
    <n v="19144.580000000002"/>
  </r>
  <r>
    <x v="7"/>
    <x v="1"/>
    <x v="1"/>
    <x v="0"/>
    <x v="1"/>
    <x v="0"/>
    <n v="13822.8"/>
  </r>
  <r>
    <x v="6"/>
    <x v="1"/>
    <x v="0"/>
    <x v="0"/>
    <x v="1"/>
    <x v="1"/>
    <n v="12142.58"/>
  </r>
  <r>
    <x v="7"/>
    <x v="1"/>
    <x v="0"/>
    <x v="1"/>
    <x v="1"/>
    <x v="2"/>
    <n v="13937.67"/>
  </r>
  <r>
    <x v="4"/>
    <x v="1"/>
    <x v="1"/>
    <x v="1"/>
    <x v="0"/>
    <x v="3"/>
    <n v="41919.1"/>
  </r>
  <r>
    <x v="4"/>
    <x v="0"/>
    <x v="0"/>
    <x v="1"/>
    <x v="1"/>
    <x v="1"/>
    <n v="8232.64"/>
  </r>
  <r>
    <x v="0"/>
    <x v="0"/>
    <x v="0"/>
    <x v="0"/>
    <x v="1"/>
    <x v="0"/>
    <n v="18955.22"/>
  </r>
  <r>
    <x v="7"/>
    <x v="1"/>
    <x v="1"/>
    <x v="0"/>
    <x v="1"/>
    <x v="2"/>
    <n v="13352.1"/>
  </r>
  <r>
    <x v="6"/>
    <x v="0"/>
    <x v="0"/>
    <x v="0"/>
    <x v="1"/>
    <x v="3"/>
    <n v="13217.09"/>
  </r>
  <r>
    <x v="7"/>
    <x v="1"/>
    <x v="3"/>
    <x v="0"/>
    <x v="1"/>
    <x v="3"/>
    <n v="13981.85"/>
  </r>
  <r>
    <x v="4"/>
    <x v="0"/>
    <x v="4"/>
    <x v="5"/>
    <x v="1"/>
    <x v="1"/>
    <n v="10977.21"/>
  </r>
  <r>
    <x v="3"/>
    <x v="0"/>
    <x v="0"/>
    <x v="2"/>
    <x v="1"/>
    <x v="1"/>
    <n v="6184.3"/>
  </r>
  <r>
    <x v="3"/>
    <x v="1"/>
    <x v="3"/>
    <x v="3"/>
    <x v="1"/>
    <x v="1"/>
    <n v="4890"/>
  </r>
  <r>
    <x v="4"/>
    <x v="1"/>
    <x v="1"/>
    <x v="1"/>
    <x v="1"/>
    <x v="3"/>
    <n v="8334.4599999999991"/>
  </r>
  <r>
    <x v="5"/>
    <x v="0"/>
    <x v="1"/>
    <x v="1"/>
    <x v="1"/>
    <x v="1"/>
    <n v="5478.04"/>
  </r>
  <r>
    <x v="0"/>
    <x v="1"/>
    <x v="0"/>
    <x v="0"/>
    <x v="1"/>
    <x v="2"/>
    <n v="1635.73"/>
  </r>
  <r>
    <x v="6"/>
    <x v="0"/>
    <x v="2"/>
    <x v="0"/>
    <x v="1"/>
    <x v="2"/>
    <n v="11830.61"/>
  </r>
  <r>
    <x v="4"/>
    <x v="0"/>
    <x v="0"/>
    <x v="0"/>
    <x v="1"/>
    <x v="0"/>
    <n v="8932.08"/>
  </r>
  <r>
    <x v="2"/>
    <x v="0"/>
    <x v="0"/>
    <x v="0"/>
    <x v="1"/>
    <x v="0"/>
    <n v="3554.2"/>
  </r>
  <r>
    <x v="3"/>
    <x v="1"/>
    <x v="3"/>
    <x v="0"/>
    <x v="1"/>
    <x v="3"/>
    <n v="12404.88"/>
  </r>
  <r>
    <x v="1"/>
    <x v="0"/>
    <x v="3"/>
    <x v="0"/>
    <x v="1"/>
    <x v="1"/>
    <n v="14133.04"/>
  </r>
  <r>
    <x v="4"/>
    <x v="1"/>
    <x v="0"/>
    <x v="0"/>
    <x v="1"/>
    <x v="0"/>
    <n v="24603.05"/>
  </r>
  <r>
    <x v="4"/>
    <x v="1"/>
    <x v="4"/>
    <x v="2"/>
    <x v="1"/>
    <x v="1"/>
    <n v="8944.1200000000008"/>
  </r>
  <r>
    <x v="4"/>
    <x v="1"/>
    <x v="0"/>
    <x v="2"/>
    <x v="1"/>
    <x v="2"/>
    <n v="9620.33"/>
  </r>
  <r>
    <x v="0"/>
    <x v="1"/>
    <x v="4"/>
    <x v="0"/>
    <x v="1"/>
    <x v="1"/>
    <n v="1837.28"/>
  </r>
  <r>
    <x v="1"/>
    <x v="0"/>
    <x v="2"/>
    <x v="0"/>
    <x v="1"/>
    <x v="1"/>
    <n v="1607.51"/>
  </r>
  <r>
    <x v="4"/>
    <x v="0"/>
    <x v="1"/>
    <x v="3"/>
    <x v="1"/>
    <x v="3"/>
    <n v="10043.25"/>
  </r>
  <r>
    <x v="3"/>
    <x v="1"/>
    <x v="1"/>
    <x v="1"/>
    <x v="1"/>
    <x v="0"/>
    <n v="4751.07"/>
  </r>
  <r>
    <x v="0"/>
    <x v="0"/>
    <x v="2"/>
    <x v="0"/>
    <x v="0"/>
    <x v="0"/>
    <n v="13844.51"/>
  </r>
  <r>
    <x v="0"/>
    <x v="0"/>
    <x v="0"/>
    <x v="1"/>
    <x v="1"/>
    <x v="0"/>
    <n v="2597.7800000000002"/>
  </r>
  <r>
    <x v="0"/>
    <x v="0"/>
    <x v="2"/>
    <x v="3"/>
    <x v="1"/>
    <x v="1"/>
    <n v="3180.51"/>
  </r>
  <r>
    <x v="4"/>
    <x v="0"/>
    <x v="1"/>
    <x v="1"/>
    <x v="1"/>
    <x v="3"/>
    <n v="9778.35"/>
  </r>
  <r>
    <x v="6"/>
    <x v="0"/>
    <x v="1"/>
    <x v="2"/>
    <x v="1"/>
    <x v="3"/>
    <n v="13430.26"/>
  </r>
  <r>
    <x v="9"/>
    <x v="0"/>
    <x v="0"/>
    <x v="3"/>
    <x v="1"/>
    <x v="2"/>
    <n v="8017.06"/>
  </r>
  <r>
    <x v="9"/>
    <x v="1"/>
    <x v="1"/>
    <x v="3"/>
    <x v="1"/>
    <x v="2"/>
    <n v="8116.27"/>
  </r>
  <r>
    <x v="1"/>
    <x v="1"/>
    <x v="1"/>
    <x v="2"/>
    <x v="1"/>
    <x v="3"/>
    <n v="3481.87"/>
  </r>
  <r>
    <x v="7"/>
    <x v="0"/>
    <x v="2"/>
    <x v="0"/>
    <x v="1"/>
    <x v="2"/>
    <n v="13415.04"/>
  </r>
  <r>
    <x v="6"/>
    <x v="0"/>
    <x v="2"/>
    <x v="0"/>
    <x v="1"/>
    <x v="3"/>
    <n v="12029.29"/>
  </r>
  <r>
    <x v="9"/>
    <x v="0"/>
    <x v="1"/>
    <x v="1"/>
    <x v="1"/>
    <x v="3"/>
    <n v="7639.42"/>
  </r>
  <r>
    <x v="2"/>
    <x v="1"/>
    <x v="1"/>
    <x v="3"/>
    <x v="0"/>
    <x v="0"/>
    <n v="36085.22"/>
  </r>
  <r>
    <x v="0"/>
    <x v="1"/>
    <x v="1"/>
    <x v="0"/>
    <x v="1"/>
    <x v="1"/>
    <n v="1391.53"/>
  </r>
  <r>
    <x v="0"/>
    <x v="0"/>
    <x v="0"/>
    <x v="0"/>
    <x v="0"/>
    <x v="2"/>
    <n v="18033.97"/>
  </r>
  <r>
    <x v="5"/>
    <x v="0"/>
    <x v="2"/>
    <x v="2"/>
    <x v="0"/>
    <x v="3"/>
    <n v="21659.93"/>
  </r>
  <r>
    <x v="0"/>
    <x v="1"/>
    <x v="4"/>
    <x v="0"/>
    <x v="0"/>
    <x v="1"/>
    <n v="38126.25"/>
  </r>
  <r>
    <x v="7"/>
    <x v="0"/>
    <x v="1"/>
    <x v="2"/>
    <x v="1"/>
    <x v="2"/>
    <n v="16455.71"/>
  </r>
  <r>
    <x v="7"/>
    <x v="1"/>
    <x v="1"/>
    <x v="1"/>
    <x v="1"/>
    <x v="1"/>
    <n v="27000.98"/>
  </r>
  <r>
    <x v="2"/>
    <x v="0"/>
    <x v="5"/>
    <x v="3"/>
    <x v="0"/>
    <x v="3"/>
    <n v="15006.58"/>
  </r>
  <r>
    <x v="8"/>
    <x v="1"/>
    <x v="1"/>
    <x v="0"/>
    <x v="0"/>
    <x v="3"/>
    <n v="42303.69"/>
  </r>
  <r>
    <x v="8"/>
    <x v="1"/>
    <x v="1"/>
    <x v="0"/>
    <x v="1"/>
    <x v="1"/>
    <n v="20781.490000000002"/>
  </r>
  <r>
    <x v="3"/>
    <x v="0"/>
    <x v="4"/>
    <x v="3"/>
    <x v="1"/>
    <x v="1"/>
    <n v="5846.92"/>
  </r>
  <r>
    <x v="9"/>
    <x v="1"/>
    <x v="2"/>
    <x v="3"/>
    <x v="1"/>
    <x v="3"/>
    <n v="8302.5400000000009"/>
  </r>
  <r>
    <x v="0"/>
    <x v="1"/>
    <x v="1"/>
    <x v="0"/>
    <x v="1"/>
    <x v="0"/>
    <n v="1261.8599999999999"/>
  </r>
  <r>
    <x v="6"/>
    <x v="0"/>
    <x v="3"/>
    <x v="0"/>
    <x v="1"/>
    <x v="1"/>
    <n v="11856.41"/>
  </r>
  <r>
    <x v="4"/>
    <x v="1"/>
    <x v="0"/>
    <x v="3"/>
    <x v="1"/>
    <x v="2"/>
    <n v="30284.639999999999"/>
  </r>
  <r>
    <x v="2"/>
    <x v="0"/>
    <x v="2"/>
    <x v="0"/>
    <x v="1"/>
    <x v="2"/>
    <n v="3176.82"/>
  </r>
  <r>
    <x v="0"/>
    <x v="0"/>
    <x v="1"/>
    <x v="2"/>
    <x v="1"/>
    <x v="2"/>
    <n v="4618.08"/>
  </r>
  <r>
    <x v="4"/>
    <x v="1"/>
    <x v="3"/>
    <x v="5"/>
    <x v="1"/>
    <x v="3"/>
    <n v="10736.87"/>
  </r>
  <r>
    <x v="0"/>
    <x v="0"/>
    <x v="3"/>
    <x v="0"/>
    <x v="1"/>
    <x v="2"/>
    <n v="2138.0700000000002"/>
  </r>
  <r>
    <x v="4"/>
    <x v="1"/>
    <x v="1"/>
    <x v="1"/>
    <x v="1"/>
    <x v="3"/>
    <n v="8964.06"/>
  </r>
  <r>
    <x v="4"/>
    <x v="1"/>
    <x v="1"/>
    <x v="1"/>
    <x v="1"/>
    <x v="3"/>
    <n v="9290.14"/>
  </r>
  <r>
    <x v="4"/>
    <x v="0"/>
    <x v="1"/>
    <x v="3"/>
    <x v="1"/>
    <x v="3"/>
    <n v="9411"/>
  </r>
  <r>
    <x v="4"/>
    <x v="1"/>
    <x v="2"/>
    <x v="0"/>
    <x v="1"/>
    <x v="2"/>
    <n v="7526.71"/>
  </r>
  <r>
    <x v="9"/>
    <x v="0"/>
    <x v="1"/>
    <x v="2"/>
    <x v="1"/>
    <x v="0"/>
    <n v="8522"/>
  </r>
  <r>
    <x v="0"/>
    <x v="1"/>
    <x v="1"/>
    <x v="0"/>
    <x v="1"/>
    <x v="1"/>
    <n v="16586.5"/>
  </r>
  <r>
    <x v="7"/>
    <x v="1"/>
    <x v="0"/>
    <x v="3"/>
    <x v="1"/>
    <x v="0"/>
    <n v="14988.43"/>
  </r>
  <r>
    <x v="1"/>
    <x v="0"/>
    <x v="3"/>
    <x v="0"/>
    <x v="1"/>
    <x v="1"/>
    <n v="1631.67"/>
  </r>
  <r>
    <x v="8"/>
    <x v="0"/>
    <x v="2"/>
    <x v="0"/>
    <x v="1"/>
    <x v="0"/>
    <n v="9264.7999999999993"/>
  </r>
  <r>
    <x v="4"/>
    <x v="1"/>
    <x v="4"/>
    <x v="1"/>
    <x v="1"/>
    <x v="1"/>
    <n v="8083.92"/>
  </r>
  <r>
    <x v="7"/>
    <x v="0"/>
    <x v="1"/>
    <x v="0"/>
    <x v="1"/>
    <x v="2"/>
    <n v="14692.67"/>
  </r>
  <r>
    <x v="4"/>
    <x v="1"/>
    <x v="1"/>
    <x v="2"/>
    <x v="1"/>
    <x v="2"/>
    <n v="10269.459999999999"/>
  </r>
  <r>
    <x v="3"/>
    <x v="1"/>
    <x v="2"/>
    <x v="0"/>
    <x v="1"/>
    <x v="0"/>
    <n v="3260.2"/>
  </r>
  <r>
    <x v="8"/>
    <x v="0"/>
    <x v="3"/>
    <x v="3"/>
    <x v="1"/>
    <x v="3"/>
    <n v="11396.9"/>
  </r>
  <r>
    <x v="3"/>
    <x v="0"/>
    <x v="2"/>
    <x v="0"/>
    <x v="1"/>
    <x v="1"/>
    <n v="4185.1000000000004"/>
  </r>
  <r>
    <x v="4"/>
    <x v="0"/>
    <x v="2"/>
    <x v="1"/>
    <x v="1"/>
    <x v="0"/>
    <n v="8539.67"/>
  </r>
  <r>
    <x v="5"/>
    <x v="1"/>
    <x v="2"/>
    <x v="2"/>
    <x v="1"/>
    <x v="1"/>
    <n v="6652.53"/>
  </r>
  <r>
    <x v="3"/>
    <x v="1"/>
    <x v="1"/>
    <x v="1"/>
    <x v="1"/>
    <x v="1"/>
    <n v="4074.45"/>
  </r>
  <r>
    <x v="0"/>
    <x v="1"/>
    <x v="5"/>
    <x v="0"/>
    <x v="1"/>
    <x v="2"/>
    <n v="1621.34"/>
  </r>
  <r>
    <x v="9"/>
    <x v="0"/>
    <x v="2"/>
    <x v="1"/>
    <x v="0"/>
    <x v="3"/>
    <n v="19594.810000000001"/>
  </r>
  <r>
    <x v="2"/>
    <x v="0"/>
    <x v="5"/>
    <x v="3"/>
    <x v="0"/>
    <x v="3"/>
    <n v="14455.64"/>
  </r>
  <r>
    <x v="0"/>
    <x v="1"/>
    <x v="2"/>
    <x v="4"/>
    <x v="1"/>
    <x v="0"/>
    <n v="5080.1000000000004"/>
  </r>
  <r>
    <x v="0"/>
    <x v="0"/>
    <x v="3"/>
    <x v="0"/>
    <x v="1"/>
    <x v="2"/>
    <n v="2134.9"/>
  </r>
  <r>
    <x v="9"/>
    <x v="0"/>
    <x v="3"/>
    <x v="1"/>
    <x v="1"/>
    <x v="1"/>
    <n v="7345.73"/>
  </r>
  <r>
    <x v="8"/>
    <x v="1"/>
    <x v="1"/>
    <x v="0"/>
    <x v="1"/>
    <x v="1"/>
    <n v="9140.9500000000007"/>
  </r>
  <r>
    <x v="5"/>
    <x v="0"/>
    <x v="2"/>
    <x v="3"/>
    <x v="0"/>
    <x v="0"/>
    <n v="18608.259999999998"/>
  </r>
  <r>
    <x v="7"/>
    <x v="1"/>
    <x v="3"/>
    <x v="1"/>
    <x v="1"/>
    <x v="1"/>
    <n v="14418.28"/>
  </r>
  <r>
    <x v="7"/>
    <x v="0"/>
    <x v="0"/>
    <x v="0"/>
    <x v="0"/>
    <x v="2"/>
    <n v="28950.47"/>
  </r>
  <r>
    <x v="7"/>
    <x v="1"/>
    <x v="1"/>
    <x v="0"/>
    <x v="0"/>
    <x v="1"/>
    <n v="46889.26"/>
  </r>
  <r>
    <x v="7"/>
    <x v="1"/>
    <x v="3"/>
    <x v="0"/>
    <x v="0"/>
    <x v="1"/>
    <n v="46599.11"/>
  </r>
  <r>
    <x v="5"/>
    <x v="1"/>
    <x v="1"/>
    <x v="1"/>
    <x v="0"/>
    <x v="3"/>
    <n v="39125.33"/>
  </r>
  <r>
    <x v="0"/>
    <x v="1"/>
    <x v="1"/>
    <x v="0"/>
    <x v="1"/>
    <x v="3"/>
    <n v="2727.4"/>
  </r>
  <r>
    <x v="4"/>
    <x v="1"/>
    <x v="1"/>
    <x v="3"/>
    <x v="1"/>
    <x v="0"/>
    <n v="8968.33"/>
  </r>
  <r>
    <x v="9"/>
    <x v="1"/>
    <x v="2"/>
    <x v="4"/>
    <x v="1"/>
    <x v="1"/>
    <n v="9788.8700000000008"/>
  </r>
  <r>
    <x v="5"/>
    <x v="0"/>
    <x v="0"/>
    <x v="1"/>
    <x v="1"/>
    <x v="3"/>
    <n v="6555.07"/>
  </r>
  <r>
    <x v="1"/>
    <x v="0"/>
    <x v="0"/>
    <x v="0"/>
    <x v="1"/>
    <x v="3"/>
    <n v="7323.73"/>
  </r>
  <r>
    <x v="0"/>
    <x v="0"/>
    <x v="5"/>
    <x v="1"/>
    <x v="1"/>
    <x v="3"/>
    <n v="3167.46"/>
  </r>
  <r>
    <x v="2"/>
    <x v="0"/>
    <x v="1"/>
    <x v="2"/>
    <x v="1"/>
    <x v="2"/>
    <n v="18804.75"/>
  </r>
  <r>
    <x v="0"/>
    <x v="1"/>
    <x v="1"/>
    <x v="0"/>
    <x v="1"/>
    <x v="0"/>
    <n v="23082.959999999999"/>
  </r>
  <r>
    <x v="2"/>
    <x v="0"/>
    <x v="2"/>
    <x v="3"/>
    <x v="1"/>
    <x v="2"/>
    <n v="4906.41"/>
  </r>
  <r>
    <x v="9"/>
    <x v="1"/>
    <x v="0"/>
    <x v="0"/>
    <x v="1"/>
    <x v="0"/>
    <n v="5969.72"/>
  </r>
  <r>
    <x v="6"/>
    <x v="0"/>
    <x v="1"/>
    <x v="0"/>
    <x v="1"/>
    <x v="0"/>
    <n v="12638.2"/>
  </r>
  <r>
    <x v="3"/>
    <x v="1"/>
    <x v="0"/>
    <x v="1"/>
    <x v="1"/>
    <x v="2"/>
    <n v="4243.59"/>
  </r>
  <r>
    <x v="6"/>
    <x v="1"/>
    <x v="1"/>
    <x v="2"/>
    <x v="1"/>
    <x v="1"/>
    <n v="13919.82"/>
  </r>
  <r>
    <x v="0"/>
    <x v="1"/>
    <x v="1"/>
    <x v="0"/>
    <x v="1"/>
    <x v="3"/>
    <n v="2254.8000000000002"/>
  </r>
  <r>
    <x v="3"/>
    <x v="1"/>
    <x v="0"/>
    <x v="2"/>
    <x v="1"/>
    <x v="0"/>
    <n v="5926.85"/>
  </r>
  <r>
    <x v="8"/>
    <x v="0"/>
    <x v="4"/>
    <x v="4"/>
    <x v="1"/>
    <x v="1"/>
    <n v="12592.53"/>
  </r>
  <r>
    <x v="2"/>
    <x v="1"/>
    <x v="0"/>
    <x v="0"/>
    <x v="1"/>
    <x v="3"/>
    <n v="2897.32"/>
  </r>
  <r>
    <x v="3"/>
    <x v="0"/>
    <x v="1"/>
    <x v="1"/>
    <x v="1"/>
    <x v="2"/>
    <n v="4738.2700000000004"/>
  </r>
  <r>
    <x v="3"/>
    <x v="0"/>
    <x v="1"/>
    <x v="0"/>
    <x v="0"/>
    <x v="0"/>
    <n v="37079.370000000003"/>
  </r>
  <r>
    <x v="1"/>
    <x v="1"/>
    <x v="4"/>
    <x v="0"/>
    <x v="1"/>
    <x v="1"/>
    <n v="1149.4000000000001"/>
  </r>
  <r>
    <x v="6"/>
    <x v="0"/>
    <x v="3"/>
    <x v="1"/>
    <x v="1"/>
    <x v="1"/>
    <n v="28287.9"/>
  </r>
  <r>
    <x v="6"/>
    <x v="1"/>
    <x v="0"/>
    <x v="1"/>
    <x v="0"/>
    <x v="2"/>
    <n v="26109.33"/>
  </r>
  <r>
    <x v="9"/>
    <x v="0"/>
    <x v="1"/>
    <x v="0"/>
    <x v="1"/>
    <x v="0"/>
    <n v="7345.08"/>
  </r>
  <r>
    <x v="6"/>
    <x v="1"/>
    <x v="0"/>
    <x v="0"/>
    <x v="1"/>
    <x v="3"/>
    <n v="12731"/>
  </r>
  <r>
    <x v="6"/>
    <x v="0"/>
    <x v="0"/>
    <x v="0"/>
    <x v="1"/>
    <x v="2"/>
    <n v="11454.02"/>
  </r>
  <r>
    <x v="5"/>
    <x v="0"/>
    <x v="0"/>
    <x v="0"/>
    <x v="1"/>
    <x v="0"/>
    <n v="5910.94"/>
  </r>
  <r>
    <x v="3"/>
    <x v="1"/>
    <x v="3"/>
    <x v="1"/>
    <x v="1"/>
    <x v="0"/>
    <n v="4762.33"/>
  </r>
  <r>
    <x v="5"/>
    <x v="1"/>
    <x v="0"/>
    <x v="5"/>
    <x v="1"/>
    <x v="0"/>
    <n v="7512.27"/>
  </r>
  <r>
    <x v="2"/>
    <x v="1"/>
    <x v="2"/>
    <x v="1"/>
    <x v="1"/>
    <x v="2"/>
    <n v="4032.24"/>
  </r>
  <r>
    <x v="0"/>
    <x v="1"/>
    <x v="2"/>
    <x v="0"/>
    <x v="1"/>
    <x v="0"/>
    <n v="1969.61"/>
  </r>
  <r>
    <x v="0"/>
    <x v="1"/>
    <x v="0"/>
    <x v="0"/>
    <x v="1"/>
    <x v="2"/>
    <n v="1769.53"/>
  </r>
  <r>
    <x v="3"/>
    <x v="1"/>
    <x v="4"/>
    <x v="3"/>
    <x v="1"/>
    <x v="1"/>
    <n v="4686.3900000000003"/>
  </r>
  <r>
    <x v="6"/>
    <x v="1"/>
    <x v="3"/>
    <x v="0"/>
    <x v="1"/>
    <x v="0"/>
    <n v="21797"/>
  </r>
  <r>
    <x v="8"/>
    <x v="0"/>
    <x v="1"/>
    <x v="3"/>
    <x v="1"/>
    <x v="1"/>
    <n v="11881.97"/>
  </r>
  <r>
    <x v="6"/>
    <x v="0"/>
    <x v="1"/>
    <x v="0"/>
    <x v="1"/>
    <x v="2"/>
    <n v="11840.78"/>
  </r>
  <r>
    <x v="6"/>
    <x v="1"/>
    <x v="3"/>
    <x v="0"/>
    <x v="1"/>
    <x v="0"/>
    <n v="10601.41"/>
  </r>
  <r>
    <x v="5"/>
    <x v="0"/>
    <x v="1"/>
    <x v="2"/>
    <x v="1"/>
    <x v="1"/>
    <n v="7682.67"/>
  </r>
  <r>
    <x v="4"/>
    <x v="0"/>
    <x v="3"/>
    <x v="2"/>
    <x v="1"/>
    <x v="1"/>
    <n v="10381.48"/>
  </r>
  <r>
    <x v="9"/>
    <x v="1"/>
    <x v="1"/>
    <x v="0"/>
    <x v="0"/>
    <x v="0"/>
    <n v="22144.03"/>
  </r>
  <r>
    <x v="7"/>
    <x v="0"/>
    <x v="3"/>
    <x v="3"/>
    <x v="1"/>
    <x v="3"/>
    <n v="15230.32"/>
  </r>
  <r>
    <x v="6"/>
    <x v="1"/>
    <x v="0"/>
    <x v="0"/>
    <x v="1"/>
    <x v="3"/>
    <n v="11165.42"/>
  </r>
  <r>
    <x v="0"/>
    <x v="1"/>
    <x v="0"/>
    <x v="0"/>
    <x v="1"/>
    <x v="2"/>
    <n v="1632.04"/>
  </r>
  <r>
    <x v="2"/>
    <x v="0"/>
    <x v="0"/>
    <x v="1"/>
    <x v="0"/>
    <x v="1"/>
    <n v="19521.97"/>
  </r>
  <r>
    <x v="6"/>
    <x v="0"/>
    <x v="0"/>
    <x v="1"/>
    <x v="1"/>
    <x v="0"/>
    <n v="13224.69"/>
  </r>
  <r>
    <x v="6"/>
    <x v="0"/>
    <x v="1"/>
    <x v="3"/>
    <x v="1"/>
    <x v="2"/>
    <n v="12643.38"/>
  </r>
  <r>
    <x v="2"/>
    <x v="0"/>
    <x v="2"/>
    <x v="1"/>
    <x v="1"/>
    <x v="3"/>
    <n v="23288.93"/>
  </r>
  <r>
    <x v="1"/>
    <x v="0"/>
    <x v="2"/>
    <x v="1"/>
    <x v="1"/>
    <x v="1"/>
    <n v="2201.1"/>
  </r>
  <r>
    <x v="2"/>
    <x v="1"/>
    <x v="1"/>
    <x v="0"/>
    <x v="1"/>
    <x v="1"/>
    <n v="2497.04"/>
  </r>
  <r>
    <x v="1"/>
    <x v="0"/>
    <x v="1"/>
    <x v="0"/>
    <x v="1"/>
    <x v="3"/>
    <n v="2203.4699999999998"/>
  </r>
  <r>
    <x v="0"/>
    <x v="0"/>
    <x v="0"/>
    <x v="0"/>
    <x v="1"/>
    <x v="0"/>
    <n v="1744.46"/>
  </r>
  <r>
    <x v="4"/>
    <x v="0"/>
    <x v="1"/>
    <x v="0"/>
    <x v="1"/>
    <x v="3"/>
    <n v="20878.78"/>
  </r>
  <r>
    <x v="8"/>
    <x v="1"/>
    <x v="0"/>
    <x v="2"/>
    <x v="0"/>
    <x v="0"/>
    <n v="25382.3"/>
  </r>
  <r>
    <x v="7"/>
    <x v="1"/>
    <x v="0"/>
    <x v="1"/>
    <x v="0"/>
    <x v="2"/>
    <n v="28868.66"/>
  </r>
  <r>
    <x v="0"/>
    <x v="1"/>
    <x v="0"/>
    <x v="0"/>
    <x v="0"/>
    <x v="3"/>
    <n v="35147.53"/>
  </r>
  <r>
    <x v="0"/>
    <x v="1"/>
    <x v="3"/>
    <x v="0"/>
    <x v="1"/>
    <x v="2"/>
    <n v="2534.39"/>
  </r>
  <r>
    <x v="0"/>
    <x v="1"/>
    <x v="3"/>
    <x v="0"/>
    <x v="1"/>
    <x v="1"/>
    <n v="1534.3"/>
  </r>
  <r>
    <x v="0"/>
    <x v="1"/>
    <x v="1"/>
    <x v="0"/>
    <x v="1"/>
    <x v="1"/>
    <n v="1824.29"/>
  </r>
  <r>
    <x v="7"/>
    <x v="1"/>
    <x v="4"/>
    <x v="2"/>
    <x v="1"/>
    <x v="2"/>
    <n v="15555.19"/>
  </r>
  <r>
    <x v="4"/>
    <x v="1"/>
    <x v="3"/>
    <x v="3"/>
    <x v="1"/>
    <x v="1"/>
    <n v="9304.7000000000007"/>
  </r>
  <r>
    <x v="1"/>
    <x v="0"/>
    <x v="1"/>
    <x v="0"/>
    <x v="1"/>
    <x v="1"/>
    <n v="1622.19"/>
  </r>
  <r>
    <x v="8"/>
    <x v="0"/>
    <x v="3"/>
    <x v="1"/>
    <x v="1"/>
    <x v="0"/>
    <n v="9880.07"/>
  </r>
  <r>
    <x v="4"/>
    <x v="1"/>
    <x v="1"/>
    <x v="2"/>
    <x v="1"/>
    <x v="0"/>
    <n v="9563.0300000000007"/>
  </r>
  <r>
    <x v="3"/>
    <x v="0"/>
    <x v="1"/>
    <x v="0"/>
    <x v="1"/>
    <x v="3"/>
    <n v="4347.0200000000004"/>
  </r>
  <r>
    <x v="8"/>
    <x v="0"/>
    <x v="2"/>
    <x v="2"/>
    <x v="1"/>
    <x v="2"/>
    <n v="12475.35"/>
  </r>
  <r>
    <x v="0"/>
    <x v="1"/>
    <x v="0"/>
    <x v="0"/>
    <x v="1"/>
    <x v="0"/>
    <n v="1253.94"/>
  </r>
  <r>
    <x v="9"/>
    <x v="0"/>
    <x v="3"/>
    <x v="0"/>
    <x v="0"/>
    <x v="1"/>
    <n v="48885.14"/>
  </r>
  <r>
    <x v="8"/>
    <x v="1"/>
    <x v="1"/>
    <x v="1"/>
    <x v="1"/>
    <x v="2"/>
    <n v="10461.98"/>
  </r>
  <r>
    <x v="0"/>
    <x v="0"/>
    <x v="1"/>
    <x v="0"/>
    <x v="1"/>
    <x v="0"/>
    <n v="1748.77"/>
  </r>
  <r>
    <x v="7"/>
    <x v="0"/>
    <x v="0"/>
    <x v="0"/>
    <x v="1"/>
    <x v="1"/>
    <n v="24513.09"/>
  </r>
  <r>
    <x v="1"/>
    <x v="0"/>
    <x v="0"/>
    <x v="0"/>
    <x v="1"/>
    <x v="3"/>
    <n v="2196.4699999999998"/>
  </r>
  <r>
    <x v="7"/>
    <x v="1"/>
    <x v="4"/>
    <x v="0"/>
    <x v="1"/>
    <x v="0"/>
    <n v="12574.05"/>
  </r>
  <r>
    <x v="0"/>
    <x v="1"/>
    <x v="0"/>
    <x v="5"/>
    <x v="0"/>
    <x v="0"/>
    <n v="17942.11"/>
  </r>
  <r>
    <x v="0"/>
    <x v="1"/>
    <x v="0"/>
    <x v="0"/>
    <x v="1"/>
    <x v="3"/>
    <n v="1967.02"/>
  </r>
  <r>
    <x v="3"/>
    <x v="0"/>
    <x v="2"/>
    <x v="3"/>
    <x v="1"/>
    <x v="0"/>
    <n v="4931.6499999999996"/>
  </r>
  <r>
    <x v="9"/>
    <x v="1"/>
    <x v="0"/>
    <x v="3"/>
    <x v="1"/>
    <x v="0"/>
    <n v="8027.97"/>
  </r>
  <r>
    <x v="9"/>
    <x v="0"/>
    <x v="2"/>
    <x v="3"/>
    <x v="1"/>
    <x v="1"/>
    <n v="8211.1"/>
  </r>
  <r>
    <x v="7"/>
    <x v="0"/>
    <x v="3"/>
    <x v="0"/>
    <x v="1"/>
    <x v="0"/>
    <n v="13470.86"/>
  </r>
  <r>
    <x v="2"/>
    <x v="1"/>
    <x v="1"/>
    <x v="0"/>
    <x v="0"/>
    <x v="0"/>
    <n v="36197.699999999997"/>
  </r>
  <r>
    <x v="9"/>
    <x v="1"/>
    <x v="0"/>
    <x v="0"/>
    <x v="1"/>
    <x v="3"/>
    <n v="6837.37"/>
  </r>
  <r>
    <x v="8"/>
    <x v="1"/>
    <x v="2"/>
    <x v="1"/>
    <x v="0"/>
    <x v="1"/>
    <n v="22218.11"/>
  </r>
  <r>
    <x v="0"/>
    <x v="1"/>
    <x v="1"/>
    <x v="0"/>
    <x v="0"/>
    <x v="1"/>
    <n v="32548.34"/>
  </r>
  <r>
    <x v="5"/>
    <x v="0"/>
    <x v="0"/>
    <x v="1"/>
    <x v="1"/>
    <x v="1"/>
    <n v="5974.38"/>
  </r>
  <r>
    <x v="5"/>
    <x v="1"/>
    <x v="1"/>
    <x v="2"/>
    <x v="1"/>
    <x v="2"/>
    <n v="6796.86"/>
  </r>
  <r>
    <x v="0"/>
    <x v="1"/>
    <x v="1"/>
    <x v="1"/>
    <x v="1"/>
    <x v="2"/>
    <n v="2643.27"/>
  </r>
  <r>
    <x v="0"/>
    <x v="1"/>
    <x v="2"/>
    <x v="3"/>
    <x v="1"/>
    <x v="2"/>
    <n v="3077.1"/>
  </r>
  <r>
    <x v="0"/>
    <x v="0"/>
    <x v="0"/>
    <x v="0"/>
    <x v="1"/>
    <x v="3"/>
    <n v="3044.21"/>
  </r>
  <r>
    <x v="6"/>
    <x v="0"/>
    <x v="0"/>
    <x v="0"/>
    <x v="1"/>
    <x v="0"/>
    <n v="11455.28"/>
  </r>
  <r>
    <x v="6"/>
    <x v="1"/>
    <x v="1"/>
    <x v="1"/>
    <x v="1"/>
    <x v="3"/>
    <n v="11763"/>
  </r>
  <r>
    <x v="2"/>
    <x v="1"/>
    <x v="1"/>
    <x v="0"/>
    <x v="1"/>
    <x v="1"/>
    <n v="2498.41"/>
  </r>
  <r>
    <x v="8"/>
    <x v="1"/>
    <x v="2"/>
    <x v="0"/>
    <x v="1"/>
    <x v="3"/>
    <n v="9361.33"/>
  </r>
  <r>
    <x v="0"/>
    <x v="1"/>
    <x v="1"/>
    <x v="0"/>
    <x v="1"/>
    <x v="0"/>
    <n v="1256.3"/>
  </r>
  <r>
    <x v="5"/>
    <x v="1"/>
    <x v="0"/>
    <x v="1"/>
    <x v="0"/>
    <x v="0"/>
    <n v="21082.16"/>
  </r>
  <r>
    <x v="6"/>
    <x v="1"/>
    <x v="3"/>
    <x v="0"/>
    <x v="1"/>
    <x v="0"/>
    <n v="11362.76"/>
  </r>
  <r>
    <x v="0"/>
    <x v="1"/>
    <x v="3"/>
    <x v="1"/>
    <x v="1"/>
    <x v="1"/>
    <n v="27724.29"/>
  </r>
  <r>
    <x v="9"/>
    <x v="1"/>
    <x v="1"/>
    <x v="3"/>
    <x v="1"/>
    <x v="2"/>
    <n v="8413.4599999999991"/>
  </r>
  <r>
    <x v="3"/>
    <x v="0"/>
    <x v="1"/>
    <x v="1"/>
    <x v="1"/>
    <x v="0"/>
    <n v="5240.76"/>
  </r>
  <r>
    <x v="3"/>
    <x v="1"/>
    <x v="1"/>
    <x v="0"/>
    <x v="1"/>
    <x v="3"/>
    <n v="3857.76"/>
  </r>
  <r>
    <x v="4"/>
    <x v="0"/>
    <x v="0"/>
    <x v="0"/>
    <x v="1"/>
    <x v="3"/>
    <n v="25656.58"/>
  </r>
  <r>
    <x v="3"/>
    <x v="0"/>
    <x v="4"/>
    <x v="0"/>
    <x v="1"/>
    <x v="1"/>
    <n v="3994.18"/>
  </r>
  <r>
    <x v="8"/>
    <x v="0"/>
    <x v="1"/>
    <x v="0"/>
    <x v="1"/>
    <x v="3"/>
    <n v="9866.2999999999993"/>
  </r>
  <r>
    <x v="5"/>
    <x v="0"/>
    <x v="3"/>
    <x v="0"/>
    <x v="1"/>
    <x v="1"/>
    <n v="5397.62"/>
  </r>
  <r>
    <x v="9"/>
    <x v="1"/>
    <x v="0"/>
    <x v="1"/>
    <x v="0"/>
    <x v="1"/>
    <n v="38245.589999999997"/>
  </r>
  <r>
    <x v="1"/>
    <x v="0"/>
    <x v="1"/>
    <x v="0"/>
    <x v="1"/>
    <x v="1"/>
    <n v="11482.63"/>
  </r>
  <r>
    <x v="0"/>
    <x v="0"/>
    <x v="1"/>
    <x v="3"/>
    <x v="1"/>
    <x v="2"/>
    <n v="24059.68"/>
  </r>
  <r>
    <x v="8"/>
    <x v="0"/>
    <x v="0"/>
    <x v="1"/>
    <x v="1"/>
    <x v="0"/>
    <n v="9861.02"/>
  </r>
  <r>
    <x v="4"/>
    <x v="1"/>
    <x v="3"/>
    <x v="1"/>
    <x v="1"/>
    <x v="3"/>
    <n v="8342.91"/>
  </r>
  <r>
    <x v="1"/>
    <x v="1"/>
    <x v="0"/>
    <x v="0"/>
    <x v="1"/>
    <x v="3"/>
    <n v="1708"/>
  </r>
  <r>
    <x v="6"/>
    <x v="1"/>
    <x v="4"/>
    <x v="1"/>
    <x v="0"/>
    <x v="1"/>
    <n v="48675.519999999997"/>
  </r>
  <r>
    <x v="7"/>
    <x v="0"/>
    <x v="1"/>
    <x v="0"/>
    <x v="1"/>
    <x v="3"/>
    <n v="14043.48"/>
  </r>
  <r>
    <x v="6"/>
    <x v="1"/>
    <x v="0"/>
    <x v="3"/>
    <x v="1"/>
    <x v="1"/>
    <n v="12925.89"/>
  </r>
  <r>
    <x v="5"/>
    <x v="1"/>
    <x v="3"/>
    <x v="0"/>
    <x v="1"/>
    <x v="1"/>
    <n v="19214.71"/>
  </r>
  <r>
    <x v="7"/>
    <x v="1"/>
    <x v="4"/>
    <x v="0"/>
    <x v="1"/>
    <x v="1"/>
    <n v="13831.12"/>
  </r>
  <r>
    <x v="5"/>
    <x v="1"/>
    <x v="0"/>
    <x v="1"/>
    <x v="1"/>
    <x v="3"/>
    <n v="6067.13"/>
  </r>
  <r>
    <x v="3"/>
    <x v="0"/>
    <x v="3"/>
    <x v="2"/>
    <x v="1"/>
    <x v="0"/>
    <n v="5972.38"/>
  </r>
  <r>
    <x v="4"/>
    <x v="0"/>
    <x v="1"/>
    <x v="3"/>
    <x v="1"/>
    <x v="0"/>
    <n v="8825.09"/>
  </r>
  <r>
    <x v="4"/>
    <x v="0"/>
    <x v="0"/>
    <x v="1"/>
    <x v="1"/>
    <x v="1"/>
    <n v="8233.1"/>
  </r>
  <r>
    <x v="8"/>
    <x v="1"/>
    <x v="1"/>
    <x v="0"/>
    <x v="1"/>
    <x v="1"/>
    <n v="27346.04"/>
  </r>
  <r>
    <x v="3"/>
    <x v="0"/>
    <x v="3"/>
    <x v="2"/>
    <x v="1"/>
    <x v="0"/>
    <n v="6196.45"/>
  </r>
  <r>
    <x v="0"/>
    <x v="0"/>
    <x v="1"/>
    <x v="3"/>
    <x v="1"/>
    <x v="1"/>
    <n v="3056.39"/>
  </r>
  <r>
    <x v="7"/>
    <x v="0"/>
    <x v="3"/>
    <x v="0"/>
    <x v="1"/>
    <x v="1"/>
    <n v="13887.2"/>
  </r>
  <r>
    <x v="8"/>
    <x v="0"/>
    <x v="4"/>
    <x v="0"/>
    <x v="0"/>
    <x v="1"/>
    <n v="63770.43"/>
  </r>
  <r>
    <x v="8"/>
    <x v="1"/>
    <x v="1"/>
    <x v="0"/>
    <x v="1"/>
    <x v="2"/>
    <n v="10231.5"/>
  </r>
  <r>
    <x v="4"/>
    <x v="1"/>
    <x v="0"/>
    <x v="3"/>
    <x v="0"/>
    <x v="2"/>
    <n v="23807.24"/>
  </r>
  <r>
    <x v="2"/>
    <x v="1"/>
    <x v="3"/>
    <x v="0"/>
    <x v="1"/>
    <x v="3"/>
    <n v="3268.85"/>
  </r>
  <r>
    <x v="8"/>
    <x v="0"/>
    <x v="4"/>
    <x v="3"/>
    <x v="1"/>
    <x v="0"/>
    <n v="11538.42"/>
  </r>
  <r>
    <x v="0"/>
    <x v="0"/>
    <x v="0"/>
    <x v="0"/>
    <x v="1"/>
    <x v="3"/>
    <n v="3213.62"/>
  </r>
  <r>
    <x v="9"/>
    <x v="0"/>
    <x v="4"/>
    <x v="0"/>
    <x v="0"/>
    <x v="1"/>
    <n v="45863.199999999997"/>
  </r>
  <r>
    <x v="7"/>
    <x v="1"/>
    <x v="1"/>
    <x v="0"/>
    <x v="1"/>
    <x v="0"/>
    <n v="13390.56"/>
  </r>
  <r>
    <x v="3"/>
    <x v="0"/>
    <x v="0"/>
    <x v="0"/>
    <x v="1"/>
    <x v="1"/>
    <n v="3972.92"/>
  </r>
  <r>
    <x v="7"/>
    <x v="1"/>
    <x v="2"/>
    <x v="0"/>
    <x v="1"/>
    <x v="0"/>
    <n v="12957.12"/>
  </r>
  <r>
    <x v="8"/>
    <x v="0"/>
    <x v="1"/>
    <x v="3"/>
    <x v="1"/>
    <x v="2"/>
    <n v="11187.66"/>
  </r>
  <r>
    <x v="0"/>
    <x v="0"/>
    <x v="4"/>
    <x v="0"/>
    <x v="1"/>
    <x v="3"/>
    <n v="17878.900000000001"/>
  </r>
  <r>
    <x v="2"/>
    <x v="1"/>
    <x v="2"/>
    <x v="3"/>
    <x v="1"/>
    <x v="0"/>
    <n v="3847.67"/>
  </r>
  <r>
    <x v="4"/>
    <x v="1"/>
    <x v="1"/>
    <x v="1"/>
    <x v="1"/>
    <x v="3"/>
    <n v="8334.59"/>
  </r>
  <r>
    <x v="3"/>
    <x v="1"/>
    <x v="1"/>
    <x v="0"/>
    <x v="1"/>
    <x v="1"/>
    <n v="3935.18"/>
  </r>
  <r>
    <x v="3"/>
    <x v="0"/>
    <x v="1"/>
    <x v="2"/>
    <x v="0"/>
    <x v="2"/>
    <n v="39983.43"/>
  </r>
  <r>
    <x v="0"/>
    <x v="1"/>
    <x v="3"/>
    <x v="0"/>
    <x v="1"/>
    <x v="2"/>
    <n v="1646.43"/>
  </r>
  <r>
    <x v="4"/>
    <x v="0"/>
    <x v="2"/>
    <x v="3"/>
    <x v="1"/>
    <x v="2"/>
    <n v="9193.84"/>
  </r>
  <r>
    <x v="8"/>
    <x v="0"/>
    <x v="1"/>
    <x v="0"/>
    <x v="1"/>
    <x v="3"/>
    <n v="10923.93"/>
  </r>
  <r>
    <x v="2"/>
    <x v="1"/>
    <x v="1"/>
    <x v="0"/>
    <x v="1"/>
    <x v="0"/>
    <n v="2494.02"/>
  </r>
  <r>
    <x v="4"/>
    <x v="1"/>
    <x v="4"/>
    <x v="1"/>
    <x v="1"/>
    <x v="1"/>
    <n v="9058.73"/>
  </r>
  <r>
    <x v="1"/>
    <x v="0"/>
    <x v="1"/>
    <x v="3"/>
    <x v="1"/>
    <x v="1"/>
    <n v="2801.26"/>
  </r>
  <r>
    <x v="0"/>
    <x v="0"/>
    <x v="1"/>
    <x v="0"/>
    <x v="1"/>
    <x v="2"/>
    <n v="2128.4299999999998"/>
  </r>
  <r>
    <x v="5"/>
    <x v="0"/>
    <x v="4"/>
    <x v="1"/>
    <x v="1"/>
    <x v="2"/>
    <n v="6373.56"/>
  </r>
  <r>
    <x v="9"/>
    <x v="1"/>
    <x v="1"/>
    <x v="3"/>
    <x v="1"/>
    <x v="2"/>
    <n v="7256.72"/>
  </r>
  <r>
    <x v="4"/>
    <x v="0"/>
    <x v="1"/>
    <x v="4"/>
    <x v="1"/>
    <x v="0"/>
    <n v="11552.9"/>
  </r>
  <r>
    <x v="4"/>
    <x v="1"/>
    <x v="4"/>
    <x v="3"/>
    <x v="0"/>
    <x v="2"/>
    <n v="45702.02"/>
  </r>
  <r>
    <x v="3"/>
    <x v="0"/>
    <x v="0"/>
    <x v="0"/>
    <x v="1"/>
    <x v="0"/>
    <n v="3761.29"/>
  </r>
  <r>
    <x v="1"/>
    <x v="0"/>
    <x v="3"/>
    <x v="1"/>
    <x v="1"/>
    <x v="1"/>
    <n v="2219.4499999999998"/>
  </r>
  <r>
    <x v="2"/>
    <x v="0"/>
    <x v="4"/>
    <x v="3"/>
    <x v="1"/>
    <x v="1"/>
    <n v="4753.6400000000003"/>
  </r>
  <r>
    <x v="7"/>
    <x v="0"/>
    <x v="3"/>
    <x v="1"/>
    <x v="1"/>
    <x v="3"/>
    <n v="31620"/>
  </r>
  <r>
    <x v="6"/>
    <x v="0"/>
    <x v="1"/>
    <x v="3"/>
    <x v="1"/>
    <x v="3"/>
    <n v="13224.06"/>
  </r>
  <r>
    <x v="6"/>
    <x v="0"/>
    <x v="0"/>
    <x v="0"/>
    <x v="1"/>
    <x v="2"/>
    <n v="12222.9"/>
  </r>
  <r>
    <x v="0"/>
    <x v="1"/>
    <x v="0"/>
    <x v="0"/>
    <x v="1"/>
    <x v="1"/>
    <n v="1665"/>
  </r>
  <r>
    <x v="3"/>
    <x v="0"/>
    <x v="3"/>
    <x v="1"/>
    <x v="0"/>
    <x v="3"/>
    <n v="58571.07"/>
  </r>
  <r>
    <x v="8"/>
    <x v="1"/>
    <x v="1"/>
    <x v="1"/>
    <x v="1"/>
    <x v="0"/>
    <n v="9724.5300000000007"/>
  </r>
  <r>
    <x v="0"/>
    <x v="0"/>
    <x v="2"/>
    <x v="0"/>
    <x v="1"/>
    <x v="3"/>
    <n v="3206.49"/>
  </r>
  <r>
    <x v="6"/>
    <x v="1"/>
    <x v="0"/>
    <x v="1"/>
    <x v="1"/>
    <x v="3"/>
    <n v="12913.99"/>
  </r>
  <r>
    <x v="0"/>
    <x v="1"/>
    <x v="1"/>
    <x v="0"/>
    <x v="1"/>
    <x v="2"/>
    <n v="1639.56"/>
  </r>
  <r>
    <x v="5"/>
    <x v="1"/>
    <x v="4"/>
    <x v="3"/>
    <x v="1"/>
    <x v="1"/>
    <n v="6356.27"/>
  </r>
  <r>
    <x v="3"/>
    <x v="0"/>
    <x v="2"/>
    <x v="1"/>
    <x v="1"/>
    <x v="1"/>
    <n v="17626.240000000002"/>
  </r>
  <r>
    <x v="0"/>
    <x v="1"/>
    <x v="2"/>
    <x v="0"/>
    <x v="1"/>
    <x v="0"/>
    <n v="1242.82"/>
  </r>
  <r>
    <x v="3"/>
    <x v="0"/>
    <x v="0"/>
    <x v="1"/>
    <x v="1"/>
    <x v="1"/>
    <n v="4779.6000000000004"/>
  </r>
  <r>
    <x v="0"/>
    <x v="1"/>
    <x v="2"/>
    <x v="2"/>
    <x v="1"/>
    <x v="3"/>
    <n v="3861.21"/>
  </r>
  <r>
    <x v="3"/>
    <x v="0"/>
    <x v="1"/>
    <x v="1"/>
    <x v="0"/>
    <x v="2"/>
    <n v="43943.88"/>
  </r>
  <r>
    <x v="7"/>
    <x v="0"/>
    <x v="3"/>
    <x v="0"/>
    <x v="1"/>
    <x v="3"/>
    <n v="13635.64"/>
  </r>
  <r>
    <x v="5"/>
    <x v="0"/>
    <x v="1"/>
    <x v="1"/>
    <x v="1"/>
    <x v="1"/>
    <n v="5976.83"/>
  </r>
  <r>
    <x v="6"/>
    <x v="0"/>
    <x v="0"/>
    <x v="0"/>
    <x v="1"/>
    <x v="0"/>
    <n v="11842.44"/>
  </r>
  <r>
    <x v="4"/>
    <x v="1"/>
    <x v="2"/>
    <x v="1"/>
    <x v="1"/>
    <x v="2"/>
    <n v="8428.07"/>
  </r>
  <r>
    <x v="0"/>
    <x v="1"/>
    <x v="1"/>
    <x v="3"/>
    <x v="1"/>
    <x v="1"/>
    <n v="2566.4699999999998"/>
  </r>
  <r>
    <x v="0"/>
    <x v="0"/>
    <x v="2"/>
    <x v="1"/>
    <x v="0"/>
    <x v="3"/>
    <n v="15359.1"/>
  </r>
  <r>
    <x v="9"/>
    <x v="1"/>
    <x v="4"/>
    <x v="0"/>
    <x v="1"/>
    <x v="1"/>
    <n v="5709.16"/>
  </r>
  <r>
    <x v="4"/>
    <x v="0"/>
    <x v="1"/>
    <x v="1"/>
    <x v="1"/>
    <x v="3"/>
    <n v="8823.99"/>
  </r>
  <r>
    <x v="9"/>
    <x v="0"/>
    <x v="0"/>
    <x v="3"/>
    <x v="1"/>
    <x v="1"/>
    <n v="7640.31"/>
  </r>
  <r>
    <x v="3"/>
    <x v="0"/>
    <x v="1"/>
    <x v="1"/>
    <x v="1"/>
    <x v="3"/>
    <n v="5594.85"/>
  </r>
  <r>
    <x v="9"/>
    <x v="1"/>
    <x v="1"/>
    <x v="3"/>
    <x v="1"/>
    <x v="0"/>
    <n v="7441.5"/>
  </r>
  <r>
    <x v="8"/>
    <x v="0"/>
    <x v="3"/>
    <x v="3"/>
    <x v="1"/>
    <x v="2"/>
    <n v="33471.97"/>
  </r>
  <r>
    <x v="1"/>
    <x v="0"/>
    <x v="3"/>
    <x v="0"/>
    <x v="1"/>
    <x v="1"/>
    <n v="1633.04"/>
  </r>
  <r>
    <x v="8"/>
    <x v="1"/>
    <x v="1"/>
    <x v="0"/>
    <x v="1"/>
    <x v="2"/>
    <n v="9174.14"/>
  </r>
  <r>
    <x v="6"/>
    <x v="0"/>
    <x v="0"/>
    <x v="0"/>
    <x v="1"/>
    <x v="0"/>
    <n v="11070.54"/>
  </r>
  <r>
    <x v="7"/>
    <x v="0"/>
    <x v="3"/>
    <x v="2"/>
    <x v="1"/>
    <x v="1"/>
    <n v="16085.13"/>
  </r>
  <r>
    <x v="0"/>
    <x v="0"/>
    <x v="0"/>
    <x v="0"/>
    <x v="0"/>
    <x v="2"/>
    <n v="17468.98"/>
  </r>
  <r>
    <x v="8"/>
    <x v="0"/>
    <x v="1"/>
    <x v="0"/>
    <x v="1"/>
    <x v="1"/>
    <n v="9283.56"/>
  </r>
  <r>
    <x v="2"/>
    <x v="0"/>
    <x v="0"/>
    <x v="0"/>
    <x v="1"/>
    <x v="3"/>
    <n v="3558.62"/>
  </r>
  <r>
    <x v="6"/>
    <x v="0"/>
    <x v="2"/>
    <x v="0"/>
    <x v="0"/>
    <x v="2"/>
    <n v="25678.78"/>
  </r>
  <r>
    <x v="2"/>
    <x v="1"/>
    <x v="0"/>
    <x v="3"/>
    <x v="1"/>
    <x v="3"/>
    <n v="4435.09"/>
  </r>
  <r>
    <x v="2"/>
    <x v="1"/>
    <x v="3"/>
    <x v="3"/>
    <x v="0"/>
    <x v="0"/>
    <n v="39241.440000000002"/>
  </r>
  <r>
    <x v="4"/>
    <x v="0"/>
    <x v="0"/>
    <x v="1"/>
    <x v="1"/>
    <x v="1"/>
    <n v="8547.69"/>
  </r>
  <r>
    <x v="5"/>
    <x v="0"/>
    <x v="1"/>
    <x v="3"/>
    <x v="1"/>
    <x v="0"/>
    <n v="6571.54"/>
  </r>
  <r>
    <x v="1"/>
    <x v="0"/>
    <x v="1"/>
    <x v="0"/>
    <x v="1"/>
    <x v="3"/>
    <n v="2207.6999999999998"/>
  </r>
  <r>
    <x v="3"/>
    <x v="0"/>
    <x v="2"/>
    <x v="2"/>
    <x v="1"/>
    <x v="3"/>
    <n v="6753.04"/>
  </r>
  <r>
    <x v="0"/>
    <x v="0"/>
    <x v="1"/>
    <x v="0"/>
    <x v="1"/>
    <x v="1"/>
    <n v="1880.07"/>
  </r>
  <r>
    <x v="4"/>
    <x v="0"/>
    <x v="3"/>
    <x v="1"/>
    <x v="0"/>
    <x v="1"/>
    <n v="42969.85"/>
  </r>
  <r>
    <x v="6"/>
    <x v="0"/>
    <x v="0"/>
    <x v="0"/>
    <x v="1"/>
    <x v="3"/>
    <n v="11658.12"/>
  </r>
  <r>
    <x v="4"/>
    <x v="1"/>
    <x v="0"/>
    <x v="3"/>
    <x v="0"/>
    <x v="0"/>
    <n v="23306.55"/>
  </r>
  <r>
    <x v="0"/>
    <x v="0"/>
    <x v="1"/>
    <x v="0"/>
    <x v="0"/>
    <x v="1"/>
    <n v="34439.86"/>
  </r>
  <r>
    <x v="8"/>
    <x v="0"/>
    <x v="3"/>
    <x v="0"/>
    <x v="1"/>
    <x v="0"/>
    <n v="10713.64"/>
  </r>
  <r>
    <x v="2"/>
    <x v="1"/>
    <x v="1"/>
    <x v="1"/>
    <x v="1"/>
    <x v="0"/>
    <n v="3659.35"/>
  </r>
  <r>
    <x v="5"/>
    <x v="1"/>
    <x v="1"/>
    <x v="5"/>
    <x v="0"/>
    <x v="0"/>
    <n v="40182.25"/>
  </r>
  <r>
    <x v="4"/>
    <x v="0"/>
    <x v="2"/>
    <x v="1"/>
    <x v="1"/>
    <x v="0"/>
    <n v="9182.17"/>
  </r>
  <r>
    <x v="1"/>
    <x v="1"/>
    <x v="1"/>
    <x v="0"/>
    <x v="0"/>
    <x v="3"/>
    <n v="34617.839999999997"/>
  </r>
  <r>
    <x v="6"/>
    <x v="1"/>
    <x v="0"/>
    <x v="0"/>
    <x v="1"/>
    <x v="2"/>
    <n v="12129.61"/>
  </r>
  <r>
    <x v="2"/>
    <x v="0"/>
    <x v="0"/>
    <x v="0"/>
    <x v="1"/>
    <x v="2"/>
    <n v="3736.46"/>
  </r>
  <r>
    <x v="5"/>
    <x v="1"/>
    <x v="0"/>
    <x v="2"/>
    <x v="1"/>
    <x v="3"/>
    <n v="6748.59"/>
  </r>
  <r>
    <x v="3"/>
    <x v="1"/>
    <x v="4"/>
    <x v="1"/>
    <x v="1"/>
    <x v="1"/>
    <n v="11326.71"/>
  </r>
  <r>
    <x v="6"/>
    <x v="1"/>
    <x v="3"/>
    <x v="0"/>
    <x v="1"/>
    <x v="0"/>
    <n v="11365.95"/>
  </r>
  <r>
    <x v="9"/>
    <x v="0"/>
    <x v="3"/>
    <x v="0"/>
    <x v="0"/>
    <x v="2"/>
    <n v="42983.46"/>
  </r>
  <r>
    <x v="8"/>
    <x v="1"/>
    <x v="3"/>
    <x v="1"/>
    <x v="1"/>
    <x v="0"/>
    <n v="10085.85"/>
  </r>
  <r>
    <x v="0"/>
    <x v="1"/>
    <x v="0"/>
    <x v="0"/>
    <x v="1"/>
    <x v="0"/>
    <n v="1977.82"/>
  </r>
  <r>
    <x v="2"/>
    <x v="0"/>
    <x v="3"/>
    <x v="0"/>
    <x v="1"/>
    <x v="1"/>
    <n v="3366.67"/>
  </r>
  <r>
    <x v="5"/>
    <x v="1"/>
    <x v="2"/>
    <x v="3"/>
    <x v="1"/>
    <x v="3"/>
    <n v="7173.36"/>
  </r>
  <r>
    <x v="8"/>
    <x v="1"/>
    <x v="3"/>
    <x v="1"/>
    <x v="1"/>
    <x v="0"/>
    <n v="9391.35"/>
  </r>
  <r>
    <x v="7"/>
    <x v="1"/>
    <x v="3"/>
    <x v="0"/>
    <x v="1"/>
    <x v="3"/>
    <n v="14410.93"/>
  </r>
  <r>
    <x v="0"/>
    <x v="0"/>
    <x v="2"/>
    <x v="1"/>
    <x v="1"/>
    <x v="2"/>
    <n v="2709.11"/>
  </r>
  <r>
    <x v="3"/>
    <x v="0"/>
    <x v="3"/>
    <x v="3"/>
    <x v="1"/>
    <x v="3"/>
    <n v="24915.05"/>
  </r>
  <r>
    <x v="5"/>
    <x v="1"/>
    <x v="0"/>
    <x v="0"/>
    <x v="0"/>
    <x v="3"/>
    <n v="20149.32"/>
  </r>
  <r>
    <x v="6"/>
    <x v="1"/>
    <x v="1"/>
    <x v="5"/>
    <x v="1"/>
    <x v="1"/>
    <n v="12949.16"/>
  </r>
  <r>
    <x v="3"/>
    <x v="1"/>
    <x v="4"/>
    <x v="4"/>
    <x v="1"/>
    <x v="0"/>
    <n v="6666.24"/>
  </r>
  <r>
    <x v="9"/>
    <x v="1"/>
    <x v="0"/>
    <x v="2"/>
    <x v="0"/>
    <x v="2"/>
    <n v="32787.46"/>
  </r>
  <r>
    <x v="7"/>
    <x v="1"/>
    <x v="1"/>
    <x v="0"/>
    <x v="1"/>
    <x v="3"/>
    <n v="13143.86"/>
  </r>
  <r>
    <x v="0"/>
    <x v="0"/>
    <x v="3"/>
    <x v="2"/>
    <x v="1"/>
    <x v="2"/>
    <n v="4466.62"/>
  </r>
  <r>
    <x v="9"/>
    <x v="1"/>
    <x v="3"/>
    <x v="3"/>
    <x v="1"/>
    <x v="1"/>
    <n v="18806.150000000001"/>
  </r>
  <r>
    <x v="4"/>
    <x v="1"/>
    <x v="1"/>
    <x v="2"/>
    <x v="1"/>
    <x v="3"/>
    <n v="10141.14"/>
  </r>
  <r>
    <x v="5"/>
    <x v="1"/>
    <x v="0"/>
    <x v="1"/>
    <x v="1"/>
    <x v="2"/>
    <n v="6123.57"/>
  </r>
  <r>
    <x v="5"/>
    <x v="0"/>
    <x v="2"/>
    <x v="2"/>
    <x v="1"/>
    <x v="3"/>
    <n v="8252.2800000000007"/>
  </r>
  <r>
    <x v="1"/>
    <x v="1"/>
    <x v="0"/>
    <x v="0"/>
    <x v="1"/>
    <x v="3"/>
    <n v="1712.23"/>
  </r>
  <r>
    <x v="6"/>
    <x v="0"/>
    <x v="1"/>
    <x v="0"/>
    <x v="1"/>
    <x v="3"/>
    <n v="12430.95"/>
  </r>
  <r>
    <x v="4"/>
    <x v="0"/>
    <x v="4"/>
    <x v="3"/>
    <x v="1"/>
    <x v="1"/>
    <n v="9800.89"/>
  </r>
  <r>
    <x v="8"/>
    <x v="0"/>
    <x v="3"/>
    <x v="1"/>
    <x v="1"/>
    <x v="1"/>
    <n v="10579.71"/>
  </r>
  <r>
    <x v="4"/>
    <x v="0"/>
    <x v="1"/>
    <x v="0"/>
    <x v="1"/>
    <x v="1"/>
    <n v="8280.6200000000008"/>
  </r>
  <r>
    <x v="9"/>
    <x v="0"/>
    <x v="3"/>
    <x v="3"/>
    <x v="1"/>
    <x v="1"/>
    <n v="8527.5300000000007"/>
  </r>
  <r>
    <x v="6"/>
    <x v="0"/>
    <x v="3"/>
    <x v="0"/>
    <x v="1"/>
    <x v="1"/>
    <n v="12244.53"/>
  </r>
  <r>
    <x v="8"/>
    <x v="0"/>
    <x v="0"/>
    <x v="3"/>
    <x v="0"/>
    <x v="1"/>
    <n v="24667.42"/>
  </r>
  <r>
    <x v="2"/>
    <x v="0"/>
    <x v="4"/>
    <x v="1"/>
    <x v="1"/>
    <x v="0"/>
    <n v="3410.32"/>
  </r>
  <r>
    <x v="2"/>
    <x v="1"/>
    <x v="1"/>
    <x v="3"/>
    <x v="1"/>
    <x v="2"/>
    <n v="4058.71"/>
  </r>
  <r>
    <x v="4"/>
    <x v="0"/>
    <x v="3"/>
    <x v="1"/>
    <x v="1"/>
    <x v="3"/>
    <n v="26392.26"/>
  </r>
  <r>
    <x v="6"/>
    <x v="0"/>
    <x v="0"/>
    <x v="5"/>
    <x v="1"/>
    <x v="3"/>
    <n v="14394.4"/>
  </r>
  <r>
    <x v="5"/>
    <x v="1"/>
    <x v="4"/>
    <x v="2"/>
    <x v="1"/>
    <x v="1"/>
    <n v="6435.62"/>
  </r>
  <r>
    <x v="6"/>
    <x v="0"/>
    <x v="2"/>
    <x v="1"/>
    <x v="1"/>
    <x v="1"/>
    <n v="22192.44"/>
  </r>
  <r>
    <x v="3"/>
    <x v="0"/>
    <x v="1"/>
    <x v="1"/>
    <x v="1"/>
    <x v="3"/>
    <n v="5148.55"/>
  </r>
  <r>
    <x v="1"/>
    <x v="1"/>
    <x v="1"/>
    <x v="0"/>
    <x v="1"/>
    <x v="1"/>
    <n v="1136.4000000000001"/>
  </r>
  <r>
    <x v="7"/>
    <x v="0"/>
    <x v="2"/>
    <x v="0"/>
    <x v="0"/>
    <x v="1"/>
    <n v="27037.91"/>
  </r>
  <r>
    <x v="9"/>
    <x v="1"/>
    <x v="3"/>
    <x v="3"/>
    <x v="0"/>
    <x v="1"/>
    <n v="42560.43"/>
  </r>
  <r>
    <x v="4"/>
    <x v="1"/>
    <x v="0"/>
    <x v="1"/>
    <x v="1"/>
    <x v="0"/>
    <n v="8703.4599999999991"/>
  </r>
  <r>
    <x v="5"/>
    <x v="0"/>
    <x v="1"/>
    <x v="3"/>
    <x v="0"/>
    <x v="2"/>
    <n v="40003.33"/>
  </r>
  <r>
    <x v="7"/>
    <x v="1"/>
    <x v="1"/>
    <x v="0"/>
    <x v="0"/>
    <x v="3"/>
    <n v="45710.21"/>
  </r>
  <r>
    <x v="5"/>
    <x v="0"/>
    <x v="0"/>
    <x v="1"/>
    <x v="1"/>
    <x v="1"/>
    <n v="6500.24"/>
  </r>
  <r>
    <x v="2"/>
    <x v="1"/>
    <x v="1"/>
    <x v="2"/>
    <x v="1"/>
    <x v="1"/>
    <n v="4837.58"/>
  </r>
  <r>
    <x v="2"/>
    <x v="0"/>
    <x v="1"/>
    <x v="0"/>
    <x v="1"/>
    <x v="3"/>
    <n v="3943.6"/>
  </r>
  <r>
    <x v="5"/>
    <x v="1"/>
    <x v="0"/>
    <x v="0"/>
    <x v="1"/>
    <x v="1"/>
    <n v="4399.7299999999996"/>
  </r>
  <r>
    <x v="9"/>
    <x v="0"/>
    <x v="1"/>
    <x v="0"/>
    <x v="1"/>
    <x v="1"/>
    <n v="6185.32"/>
  </r>
  <r>
    <x v="9"/>
    <x v="0"/>
    <x v="4"/>
    <x v="3"/>
    <x v="0"/>
    <x v="1"/>
    <n v="46200.99"/>
  </r>
  <r>
    <x v="9"/>
    <x v="1"/>
    <x v="2"/>
    <x v="0"/>
    <x v="1"/>
    <x v="2"/>
    <n v="7222.79"/>
  </r>
  <r>
    <x v="8"/>
    <x v="0"/>
    <x v="4"/>
    <x v="2"/>
    <x v="1"/>
    <x v="1"/>
    <n v="12485.8"/>
  </r>
  <r>
    <x v="6"/>
    <x v="1"/>
    <x v="1"/>
    <x v="2"/>
    <x v="0"/>
    <x v="2"/>
    <n v="46130.53"/>
  </r>
  <r>
    <x v="6"/>
    <x v="1"/>
    <x v="3"/>
    <x v="2"/>
    <x v="1"/>
    <x v="0"/>
    <n v="12363.55"/>
  </r>
  <r>
    <x v="4"/>
    <x v="0"/>
    <x v="2"/>
    <x v="3"/>
    <x v="1"/>
    <x v="2"/>
    <n v="10156.780000000001"/>
  </r>
  <r>
    <x v="0"/>
    <x v="0"/>
    <x v="5"/>
    <x v="1"/>
    <x v="1"/>
    <x v="0"/>
    <n v="2585.27"/>
  </r>
  <r>
    <x v="0"/>
    <x v="1"/>
    <x v="2"/>
    <x v="0"/>
    <x v="1"/>
    <x v="0"/>
    <n v="1242.26"/>
  </r>
  <r>
    <x v="5"/>
    <x v="1"/>
    <x v="3"/>
    <x v="3"/>
    <x v="0"/>
    <x v="0"/>
    <n v="40103.89"/>
  </r>
  <r>
    <x v="8"/>
    <x v="1"/>
    <x v="2"/>
    <x v="0"/>
    <x v="1"/>
    <x v="2"/>
    <n v="9863.4699999999993"/>
  </r>
  <r>
    <x v="3"/>
    <x v="0"/>
    <x v="2"/>
    <x v="1"/>
    <x v="1"/>
    <x v="0"/>
    <n v="4766.0200000000004"/>
  </r>
  <r>
    <x v="8"/>
    <x v="1"/>
    <x v="0"/>
    <x v="3"/>
    <x v="1"/>
    <x v="3"/>
    <n v="11244.38"/>
  </r>
  <r>
    <x v="9"/>
    <x v="1"/>
    <x v="0"/>
    <x v="3"/>
    <x v="1"/>
    <x v="3"/>
    <n v="7729.65"/>
  </r>
  <r>
    <x v="5"/>
    <x v="1"/>
    <x v="4"/>
    <x v="0"/>
    <x v="1"/>
    <x v="1"/>
    <n v="5438.75"/>
  </r>
  <r>
    <x v="4"/>
    <x v="0"/>
    <x v="2"/>
    <x v="1"/>
    <x v="1"/>
    <x v="0"/>
    <n v="26236.58"/>
  </r>
  <r>
    <x v="2"/>
    <x v="1"/>
    <x v="1"/>
    <x v="1"/>
    <x v="0"/>
    <x v="1"/>
    <n v="34806.47"/>
  </r>
  <r>
    <x v="0"/>
    <x v="1"/>
    <x v="0"/>
    <x v="0"/>
    <x v="1"/>
    <x v="3"/>
    <n v="2104.11"/>
  </r>
  <r>
    <x v="4"/>
    <x v="1"/>
    <x v="3"/>
    <x v="1"/>
    <x v="1"/>
    <x v="0"/>
    <n v="8068.18"/>
  </r>
  <r>
    <x v="0"/>
    <x v="1"/>
    <x v="1"/>
    <x v="1"/>
    <x v="1"/>
    <x v="2"/>
    <n v="2362.23"/>
  </r>
  <r>
    <x v="0"/>
    <x v="1"/>
    <x v="2"/>
    <x v="0"/>
    <x v="1"/>
    <x v="2"/>
    <n v="2352.9699999999998"/>
  </r>
  <r>
    <x v="2"/>
    <x v="0"/>
    <x v="1"/>
    <x v="1"/>
    <x v="1"/>
    <x v="0"/>
    <n v="3578"/>
  </r>
  <r>
    <x v="2"/>
    <x v="0"/>
    <x v="4"/>
    <x v="0"/>
    <x v="1"/>
    <x v="2"/>
    <n v="3201.25"/>
  </r>
  <r>
    <x v="8"/>
    <x v="0"/>
    <x v="1"/>
    <x v="3"/>
    <x v="1"/>
    <x v="3"/>
    <n v="29186.48"/>
  </r>
  <r>
    <x v="9"/>
    <x v="1"/>
    <x v="3"/>
    <x v="1"/>
    <x v="0"/>
    <x v="1"/>
    <n v="40273.65"/>
  </r>
  <r>
    <x v="6"/>
    <x v="1"/>
    <x v="1"/>
    <x v="0"/>
    <x v="1"/>
    <x v="2"/>
    <n v="10976.25"/>
  </r>
  <r>
    <x v="0"/>
    <x v="0"/>
    <x v="3"/>
    <x v="3"/>
    <x v="1"/>
    <x v="1"/>
    <n v="3500.61"/>
  </r>
  <r>
    <x v="0"/>
    <x v="0"/>
    <x v="1"/>
    <x v="0"/>
    <x v="1"/>
    <x v="1"/>
    <n v="2020.55"/>
  </r>
  <r>
    <x v="4"/>
    <x v="0"/>
    <x v="4"/>
    <x v="0"/>
    <x v="1"/>
    <x v="3"/>
    <n v="9541.7000000000007"/>
  </r>
  <r>
    <x v="8"/>
    <x v="1"/>
    <x v="4"/>
    <x v="0"/>
    <x v="1"/>
    <x v="1"/>
    <n v="9504.31"/>
  </r>
  <r>
    <x v="3"/>
    <x v="0"/>
    <x v="0"/>
    <x v="1"/>
    <x v="1"/>
    <x v="2"/>
    <n v="5385.34"/>
  </r>
  <r>
    <x v="4"/>
    <x v="0"/>
    <x v="0"/>
    <x v="1"/>
    <x v="1"/>
    <x v="2"/>
    <n v="8930.93"/>
  </r>
  <r>
    <x v="3"/>
    <x v="0"/>
    <x v="1"/>
    <x v="3"/>
    <x v="1"/>
    <x v="0"/>
    <n v="5375.04"/>
  </r>
  <r>
    <x v="8"/>
    <x v="0"/>
    <x v="3"/>
    <x v="0"/>
    <x v="0"/>
    <x v="1"/>
    <n v="44400.41"/>
  </r>
  <r>
    <x v="4"/>
    <x v="1"/>
    <x v="0"/>
    <x v="2"/>
    <x v="1"/>
    <x v="2"/>
    <n v="10264.44"/>
  </r>
  <r>
    <x v="3"/>
    <x v="0"/>
    <x v="1"/>
    <x v="2"/>
    <x v="1"/>
    <x v="3"/>
    <n v="6113.23"/>
  </r>
  <r>
    <x v="5"/>
    <x v="0"/>
    <x v="0"/>
    <x v="0"/>
    <x v="1"/>
    <x v="3"/>
    <n v="5469.01"/>
  </r>
  <r>
    <x v="1"/>
    <x v="1"/>
    <x v="3"/>
    <x v="1"/>
    <x v="1"/>
    <x v="1"/>
    <n v="1727.54"/>
  </r>
  <r>
    <x v="4"/>
    <x v="0"/>
    <x v="2"/>
    <x v="3"/>
    <x v="1"/>
    <x v="1"/>
    <n v="10107.219999999999"/>
  </r>
  <r>
    <x v="9"/>
    <x v="0"/>
    <x v="1"/>
    <x v="3"/>
    <x v="1"/>
    <x v="2"/>
    <n v="8310.84"/>
  </r>
  <r>
    <x v="0"/>
    <x v="1"/>
    <x v="4"/>
    <x v="0"/>
    <x v="1"/>
    <x v="3"/>
    <n v="1984.45"/>
  </r>
  <r>
    <x v="0"/>
    <x v="0"/>
    <x v="2"/>
    <x v="0"/>
    <x v="1"/>
    <x v="0"/>
    <n v="2457.5"/>
  </r>
  <r>
    <x v="6"/>
    <x v="1"/>
    <x v="0"/>
    <x v="0"/>
    <x v="1"/>
    <x v="0"/>
    <n v="12146.97"/>
  </r>
  <r>
    <x v="4"/>
    <x v="0"/>
    <x v="2"/>
    <x v="1"/>
    <x v="1"/>
    <x v="2"/>
    <n v="9566.99"/>
  </r>
  <r>
    <x v="6"/>
    <x v="1"/>
    <x v="2"/>
    <x v="1"/>
    <x v="1"/>
    <x v="2"/>
    <n v="13112.6"/>
  </r>
  <r>
    <x v="8"/>
    <x v="0"/>
    <x v="3"/>
    <x v="3"/>
    <x v="1"/>
    <x v="2"/>
    <n v="10848.13"/>
  </r>
  <r>
    <x v="6"/>
    <x v="0"/>
    <x v="1"/>
    <x v="0"/>
    <x v="1"/>
    <x v="2"/>
    <n v="12231.61"/>
  </r>
  <r>
    <x v="8"/>
    <x v="0"/>
    <x v="4"/>
    <x v="0"/>
    <x v="1"/>
    <x v="3"/>
    <n v="9875.68"/>
  </r>
  <r>
    <x v="8"/>
    <x v="1"/>
    <x v="3"/>
    <x v="2"/>
    <x v="1"/>
    <x v="0"/>
    <n v="11264.54"/>
  </r>
  <r>
    <x v="7"/>
    <x v="1"/>
    <x v="3"/>
    <x v="0"/>
    <x v="1"/>
    <x v="0"/>
    <n v="12979.36"/>
  </r>
  <r>
    <x v="0"/>
    <x v="1"/>
    <x v="3"/>
    <x v="0"/>
    <x v="1"/>
    <x v="0"/>
    <n v="1263.25"/>
  </r>
  <r>
    <x v="4"/>
    <x v="0"/>
    <x v="0"/>
    <x v="1"/>
    <x v="1"/>
    <x v="3"/>
    <n v="10106.129999999999"/>
  </r>
  <r>
    <x v="2"/>
    <x v="0"/>
    <x v="3"/>
    <x v="2"/>
    <x v="0"/>
    <x v="1"/>
    <n v="40932.43"/>
  </r>
  <r>
    <x v="9"/>
    <x v="1"/>
    <x v="0"/>
    <x v="1"/>
    <x v="1"/>
    <x v="2"/>
    <n v="6664.69"/>
  </r>
  <r>
    <x v="2"/>
    <x v="0"/>
    <x v="2"/>
    <x v="1"/>
    <x v="0"/>
    <x v="3"/>
    <n v="16657.72"/>
  </r>
  <r>
    <x v="1"/>
    <x v="0"/>
    <x v="4"/>
    <x v="0"/>
    <x v="1"/>
    <x v="3"/>
    <n v="2217.6"/>
  </r>
  <r>
    <x v="9"/>
    <x v="0"/>
    <x v="3"/>
    <x v="1"/>
    <x v="1"/>
    <x v="1"/>
    <n v="6781.35"/>
  </r>
  <r>
    <x v="3"/>
    <x v="1"/>
    <x v="2"/>
    <x v="2"/>
    <x v="0"/>
    <x v="1"/>
    <n v="19362"/>
  </r>
  <r>
    <x v="8"/>
    <x v="1"/>
    <x v="2"/>
    <x v="1"/>
    <x v="1"/>
    <x v="0"/>
    <n v="10065.41"/>
  </r>
  <r>
    <x v="0"/>
    <x v="0"/>
    <x v="1"/>
    <x v="2"/>
    <x v="1"/>
    <x v="0"/>
    <n v="4234.93"/>
  </r>
  <r>
    <x v="4"/>
    <x v="0"/>
    <x v="0"/>
    <x v="1"/>
    <x v="1"/>
    <x v="3"/>
    <n v="9447.25"/>
  </r>
  <r>
    <x v="6"/>
    <x v="0"/>
    <x v="1"/>
    <x v="2"/>
    <x v="1"/>
    <x v="0"/>
    <n v="14007.22"/>
  </r>
  <r>
    <x v="4"/>
    <x v="0"/>
    <x v="1"/>
    <x v="1"/>
    <x v="1"/>
    <x v="2"/>
    <n v="9583.89"/>
  </r>
  <r>
    <x v="5"/>
    <x v="0"/>
    <x v="3"/>
    <x v="0"/>
    <x v="0"/>
    <x v="1"/>
    <n v="40419.019999999997"/>
  </r>
  <r>
    <x v="2"/>
    <x v="1"/>
    <x v="2"/>
    <x v="3"/>
    <x v="1"/>
    <x v="0"/>
    <n v="3484.33"/>
  </r>
  <r>
    <x v="0"/>
    <x v="1"/>
    <x v="1"/>
    <x v="2"/>
    <x v="0"/>
    <x v="3"/>
    <n v="36189.1"/>
  </r>
  <r>
    <x v="2"/>
    <x v="1"/>
    <x v="3"/>
    <x v="3"/>
    <x v="0"/>
    <x v="0"/>
    <n v="44585.46"/>
  </r>
  <r>
    <x v="9"/>
    <x v="1"/>
    <x v="2"/>
    <x v="3"/>
    <x v="1"/>
    <x v="3"/>
    <n v="8604.48"/>
  </r>
  <r>
    <x v="2"/>
    <x v="1"/>
    <x v="0"/>
    <x v="0"/>
    <x v="0"/>
    <x v="1"/>
    <n v="18246.5"/>
  </r>
  <r>
    <x v="8"/>
    <x v="1"/>
    <x v="1"/>
    <x v="0"/>
    <x v="0"/>
    <x v="3"/>
    <n v="43254.42"/>
  </r>
  <r>
    <x v="3"/>
    <x v="0"/>
    <x v="0"/>
    <x v="0"/>
    <x v="1"/>
    <x v="1"/>
    <n v="3757.84"/>
  </r>
  <r>
    <x v="4"/>
    <x v="1"/>
    <x v="0"/>
    <x v="0"/>
    <x v="1"/>
    <x v="2"/>
    <n v="8827.2099999999991"/>
  </r>
  <r>
    <x v="4"/>
    <x v="0"/>
    <x v="1"/>
    <x v="1"/>
    <x v="1"/>
    <x v="2"/>
    <n v="9910.36"/>
  </r>
  <r>
    <x v="3"/>
    <x v="1"/>
    <x v="0"/>
    <x v="3"/>
    <x v="1"/>
    <x v="0"/>
    <n v="11737.85"/>
  </r>
  <r>
    <x v="0"/>
    <x v="1"/>
    <x v="2"/>
    <x v="0"/>
    <x v="1"/>
    <x v="2"/>
    <n v="1627.28"/>
  </r>
  <r>
    <x v="4"/>
    <x v="0"/>
    <x v="3"/>
    <x v="1"/>
    <x v="1"/>
    <x v="0"/>
    <n v="8556.91"/>
  </r>
  <r>
    <x v="2"/>
    <x v="1"/>
    <x v="1"/>
    <x v="0"/>
    <x v="1"/>
    <x v="2"/>
    <n v="3062.51"/>
  </r>
  <r>
    <x v="5"/>
    <x v="0"/>
    <x v="0"/>
    <x v="0"/>
    <x v="0"/>
    <x v="1"/>
    <n v="19539.240000000002"/>
  </r>
  <r>
    <x v="0"/>
    <x v="1"/>
    <x v="0"/>
    <x v="0"/>
    <x v="1"/>
    <x v="2"/>
    <n v="1906.36"/>
  </r>
  <r>
    <x v="7"/>
    <x v="1"/>
    <x v="3"/>
    <x v="0"/>
    <x v="1"/>
    <x v="2"/>
    <n v="14210.54"/>
  </r>
  <r>
    <x v="6"/>
    <x v="0"/>
    <x v="2"/>
    <x v="0"/>
    <x v="1"/>
    <x v="1"/>
    <n v="11833.78"/>
  </r>
  <r>
    <x v="0"/>
    <x v="1"/>
    <x v="1"/>
    <x v="5"/>
    <x v="1"/>
    <x v="3"/>
    <n v="17128.43"/>
  </r>
  <r>
    <x v="3"/>
    <x v="1"/>
    <x v="0"/>
    <x v="3"/>
    <x v="1"/>
    <x v="3"/>
    <n v="5031.2700000000004"/>
  </r>
  <r>
    <x v="5"/>
    <x v="0"/>
    <x v="2"/>
    <x v="2"/>
    <x v="1"/>
    <x v="3"/>
    <n v="7985.82"/>
  </r>
  <r>
    <x v="4"/>
    <x v="0"/>
    <x v="0"/>
    <x v="0"/>
    <x v="0"/>
    <x v="1"/>
    <n v="23065.42"/>
  </r>
  <r>
    <x v="2"/>
    <x v="1"/>
    <x v="3"/>
    <x v="2"/>
    <x v="1"/>
    <x v="3"/>
    <n v="5428.73"/>
  </r>
  <r>
    <x v="1"/>
    <x v="1"/>
    <x v="3"/>
    <x v="0"/>
    <x v="0"/>
    <x v="1"/>
    <n v="36307.800000000003"/>
  </r>
  <r>
    <x v="0"/>
    <x v="0"/>
    <x v="1"/>
    <x v="3"/>
    <x v="1"/>
    <x v="3"/>
    <n v="3925.76"/>
  </r>
  <r>
    <x v="0"/>
    <x v="1"/>
    <x v="3"/>
    <x v="1"/>
    <x v="1"/>
    <x v="0"/>
    <n v="2416.96"/>
  </r>
  <r>
    <x v="3"/>
    <x v="1"/>
    <x v="0"/>
    <x v="1"/>
    <x v="0"/>
    <x v="0"/>
    <n v="19040.88"/>
  </r>
  <r>
    <x v="2"/>
    <x v="1"/>
    <x v="0"/>
    <x v="0"/>
    <x v="1"/>
    <x v="3"/>
    <n v="3070.81"/>
  </r>
  <r>
    <x v="9"/>
    <x v="0"/>
    <x v="0"/>
    <x v="3"/>
    <x v="1"/>
    <x v="3"/>
    <n v="9095.07"/>
  </r>
  <r>
    <x v="6"/>
    <x v="0"/>
    <x v="1"/>
    <x v="0"/>
    <x v="1"/>
    <x v="2"/>
    <n v="11842.62"/>
  </r>
  <r>
    <x v="4"/>
    <x v="1"/>
    <x v="1"/>
    <x v="1"/>
    <x v="1"/>
    <x v="0"/>
    <n v="8062.76"/>
  </r>
  <r>
    <x v="9"/>
    <x v="0"/>
    <x v="0"/>
    <x v="1"/>
    <x v="1"/>
    <x v="0"/>
    <n v="7050.64"/>
  </r>
  <r>
    <x v="7"/>
    <x v="0"/>
    <x v="3"/>
    <x v="0"/>
    <x v="1"/>
    <x v="0"/>
    <n v="14319.03"/>
  </r>
  <r>
    <x v="5"/>
    <x v="0"/>
    <x v="2"/>
    <x v="3"/>
    <x v="1"/>
    <x v="2"/>
    <n v="6933.24"/>
  </r>
  <r>
    <x v="7"/>
    <x v="1"/>
    <x v="3"/>
    <x v="2"/>
    <x v="1"/>
    <x v="0"/>
    <n v="27941.29"/>
  </r>
  <r>
    <x v="8"/>
    <x v="0"/>
    <x v="0"/>
    <x v="3"/>
    <x v="1"/>
    <x v="0"/>
    <n v="11150.78"/>
  </r>
  <r>
    <x v="9"/>
    <x v="0"/>
    <x v="3"/>
    <x v="0"/>
    <x v="1"/>
    <x v="3"/>
    <n v="12797.21"/>
  </r>
  <r>
    <x v="0"/>
    <x v="0"/>
    <x v="0"/>
    <x v="0"/>
    <x v="0"/>
    <x v="2"/>
    <n v="17748.509999999998"/>
  </r>
  <r>
    <x v="9"/>
    <x v="1"/>
    <x v="1"/>
    <x v="3"/>
    <x v="1"/>
    <x v="2"/>
    <n v="7261.74"/>
  </r>
  <r>
    <x v="8"/>
    <x v="1"/>
    <x v="1"/>
    <x v="2"/>
    <x v="1"/>
    <x v="1"/>
    <n v="10560.49"/>
  </r>
  <r>
    <x v="5"/>
    <x v="1"/>
    <x v="1"/>
    <x v="3"/>
    <x v="1"/>
    <x v="2"/>
    <n v="6986.7"/>
  </r>
  <r>
    <x v="9"/>
    <x v="1"/>
    <x v="3"/>
    <x v="0"/>
    <x v="1"/>
    <x v="3"/>
    <n v="7448.4"/>
  </r>
  <r>
    <x v="3"/>
    <x v="1"/>
    <x v="1"/>
    <x v="2"/>
    <x v="1"/>
    <x v="1"/>
    <n v="5934.38"/>
  </r>
  <r>
    <x v="8"/>
    <x v="1"/>
    <x v="0"/>
    <x v="0"/>
    <x v="1"/>
    <x v="2"/>
    <n v="9869.81"/>
  </r>
  <r>
    <x v="2"/>
    <x v="1"/>
    <x v="2"/>
    <x v="2"/>
    <x v="0"/>
    <x v="0"/>
    <n v="18259.22"/>
  </r>
  <r>
    <x v="1"/>
    <x v="1"/>
    <x v="4"/>
    <x v="0"/>
    <x v="1"/>
    <x v="1"/>
    <n v="1146.8"/>
  </r>
  <r>
    <x v="8"/>
    <x v="1"/>
    <x v="3"/>
    <x v="1"/>
    <x v="1"/>
    <x v="1"/>
    <n v="9386.16"/>
  </r>
  <r>
    <x v="4"/>
    <x v="0"/>
    <x v="0"/>
    <x v="1"/>
    <x v="0"/>
    <x v="0"/>
    <n v="24520.26"/>
  </r>
  <r>
    <x v="3"/>
    <x v="0"/>
    <x v="0"/>
    <x v="1"/>
    <x v="1"/>
    <x v="1"/>
    <n v="4350.51"/>
  </r>
  <r>
    <x v="3"/>
    <x v="0"/>
    <x v="0"/>
    <x v="2"/>
    <x v="1"/>
    <x v="0"/>
    <n v="6414.18"/>
  </r>
  <r>
    <x v="6"/>
    <x v="1"/>
    <x v="3"/>
    <x v="0"/>
    <x v="1"/>
    <x v="3"/>
    <n v="12741.17"/>
  </r>
  <r>
    <x v="0"/>
    <x v="1"/>
    <x v="3"/>
    <x v="0"/>
    <x v="1"/>
    <x v="2"/>
    <n v="1917.32"/>
  </r>
  <r>
    <x v="2"/>
    <x v="1"/>
    <x v="2"/>
    <x v="2"/>
    <x v="1"/>
    <x v="3"/>
    <n v="5209.58"/>
  </r>
  <r>
    <x v="7"/>
    <x v="0"/>
    <x v="1"/>
    <x v="0"/>
    <x v="1"/>
    <x v="1"/>
    <n v="13457.96"/>
  </r>
  <r>
    <x v="5"/>
    <x v="0"/>
    <x v="4"/>
    <x v="0"/>
    <x v="1"/>
    <x v="1"/>
    <n v="5662.22"/>
  </r>
  <r>
    <x v="0"/>
    <x v="1"/>
    <x v="0"/>
    <x v="0"/>
    <x v="1"/>
    <x v="0"/>
    <n v="1252.4100000000001"/>
  </r>
  <r>
    <x v="0"/>
    <x v="0"/>
    <x v="2"/>
    <x v="0"/>
    <x v="1"/>
    <x v="3"/>
    <n v="2731.91"/>
  </r>
  <r>
    <x v="8"/>
    <x v="1"/>
    <x v="2"/>
    <x v="0"/>
    <x v="0"/>
    <x v="1"/>
    <n v="21195.82"/>
  </r>
  <r>
    <x v="5"/>
    <x v="0"/>
    <x v="1"/>
    <x v="3"/>
    <x v="1"/>
    <x v="2"/>
    <n v="7209.49"/>
  </r>
  <r>
    <x v="2"/>
    <x v="1"/>
    <x v="0"/>
    <x v="0"/>
    <x v="0"/>
    <x v="2"/>
    <n v="18310.740000000002"/>
  </r>
  <r>
    <x v="2"/>
    <x v="1"/>
    <x v="4"/>
    <x v="3"/>
    <x v="1"/>
    <x v="1"/>
    <n v="4266.17"/>
  </r>
  <r>
    <x v="2"/>
    <x v="0"/>
    <x v="2"/>
    <x v="1"/>
    <x v="1"/>
    <x v="3"/>
    <n v="4719.5200000000004"/>
  </r>
  <r>
    <x v="6"/>
    <x v="0"/>
    <x v="1"/>
    <x v="0"/>
    <x v="1"/>
    <x v="0"/>
    <n v="11848.14"/>
  </r>
  <r>
    <x v="3"/>
    <x v="1"/>
    <x v="2"/>
    <x v="0"/>
    <x v="0"/>
    <x v="3"/>
    <n v="17904.53"/>
  </r>
  <r>
    <x v="9"/>
    <x v="0"/>
    <x v="0"/>
    <x v="1"/>
    <x v="1"/>
    <x v="1"/>
    <n v="7046.72"/>
  </r>
  <r>
    <x v="7"/>
    <x v="0"/>
    <x v="3"/>
    <x v="0"/>
    <x v="1"/>
    <x v="1"/>
    <n v="14313.85"/>
  </r>
  <r>
    <x v="0"/>
    <x v="1"/>
    <x v="2"/>
    <x v="1"/>
    <x v="1"/>
    <x v="0"/>
    <n v="2103.08"/>
  </r>
  <r>
    <x v="1"/>
    <x v="0"/>
    <x v="4"/>
    <x v="0"/>
    <x v="0"/>
    <x v="1"/>
    <n v="38792.69"/>
  </r>
  <r>
    <x v="0"/>
    <x v="1"/>
    <x v="0"/>
    <x v="0"/>
    <x v="1"/>
    <x v="1"/>
    <n v="1815.88"/>
  </r>
  <r>
    <x v="9"/>
    <x v="0"/>
    <x v="3"/>
    <x v="0"/>
    <x v="1"/>
    <x v="2"/>
    <n v="7731.86"/>
  </r>
  <r>
    <x v="5"/>
    <x v="0"/>
    <x v="4"/>
    <x v="1"/>
    <x v="1"/>
    <x v="2"/>
    <n v="28476.73"/>
  </r>
  <r>
    <x v="0"/>
    <x v="0"/>
    <x v="3"/>
    <x v="0"/>
    <x v="1"/>
    <x v="2"/>
    <n v="2136.88"/>
  </r>
  <r>
    <x v="1"/>
    <x v="1"/>
    <x v="1"/>
    <x v="0"/>
    <x v="1"/>
    <x v="1"/>
    <n v="1131.51"/>
  </r>
  <r>
    <x v="0"/>
    <x v="1"/>
    <x v="0"/>
    <x v="1"/>
    <x v="1"/>
    <x v="3"/>
    <n v="3309.79"/>
  </r>
  <r>
    <x v="4"/>
    <x v="0"/>
    <x v="1"/>
    <x v="2"/>
    <x v="1"/>
    <x v="0"/>
    <n v="9414.92"/>
  </r>
  <r>
    <x v="3"/>
    <x v="0"/>
    <x v="4"/>
    <x v="2"/>
    <x v="1"/>
    <x v="2"/>
    <n v="6360.99"/>
  </r>
  <r>
    <x v="8"/>
    <x v="1"/>
    <x v="2"/>
    <x v="3"/>
    <x v="1"/>
    <x v="1"/>
    <n v="11013.71"/>
  </r>
  <r>
    <x v="2"/>
    <x v="1"/>
    <x v="2"/>
    <x v="3"/>
    <x v="1"/>
    <x v="3"/>
    <n v="4428.8900000000003"/>
  </r>
  <r>
    <x v="5"/>
    <x v="1"/>
    <x v="1"/>
    <x v="3"/>
    <x v="1"/>
    <x v="1"/>
    <n v="5584.31"/>
  </r>
  <r>
    <x v="0"/>
    <x v="0"/>
    <x v="1"/>
    <x v="0"/>
    <x v="1"/>
    <x v="1"/>
    <n v="1877.93"/>
  </r>
  <r>
    <x v="0"/>
    <x v="0"/>
    <x v="2"/>
    <x v="0"/>
    <x v="1"/>
    <x v="2"/>
    <n v="2842.76"/>
  </r>
  <r>
    <x v="0"/>
    <x v="1"/>
    <x v="3"/>
    <x v="2"/>
    <x v="1"/>
    <x v="0"/>
    <n v="3597.6"/>
  </r>
  <r>
    <x v="4"/>
    <x v="0"/>
    <x v="0"/>
    <x v="1"/>
    <x v="0"/>
    <x v="3"/>
    <n v="23401.31"/>
  </r>
  <r>
    <x v="3"/>
    <x v="0"/>
    <x v="3"/>
    <x v="0"/>
    <x v="0"/>
    <x v="2"/>
    <n v="55135.4"/>
  </r>
  <r>
    <x v="9"/>
    <x v="1"/>
    <x v="1"/>
    <x v="1"/>
    <x v="1"/>
    <x v="0"/>
    <n v="7445.92"/>
  </r>
  <r>
    <x v="2"/>
    <x v="1"/>
    <x v="5"/>
    <x v="0"/>
    <x v="1"/>
    <x v="2"/>
    <n v="2680.95"/>
  </r>
  <r>
    <x v="1"/>
    <x v="0"/>
    <x v="1"/>
    <x v="0"/>
    <x v="1"/>
    <x v="1"/>
    <n v="1621.88"/>
  </r>
  <r>
    <x v="9"/>
    <x v="0"/>
    <x v="0"/>
    <x v="3"/>
    <x v="1"/>
    <x v="1"/>
    <n v="8219.2000000000007"/>
  </r>
  <r>
    <x v="6"/>
    <x v="1"/>
    <x v="2"/>
    <x v="0"/>
    <x v="1"/>
    <x v="2"/>
    <n v="12523.6"/>
  </r>
  <r>
    <x v="7"/>
    <x v="0"/>
    <x v="1"/>
    <x v="3"/>
    <x v="1"/>
    <x v="3"/>
    <n v="16069.08"/>
  </r>
  <r>
    <x v="6"/>
    <x v="1"/>
    <x v="1"/>
    <x v="3"/>
    <x v="0"/>
    <x v="1"/>
    <n v="43813.87"/>
  </r>
  <r>
    <x v="5"/>
    <x v="1"/>
    <x v="0"/>
    <x v="1"/>
    <x v="0"/>
    <x v="3"/>
    <n v="20773.63"/>
  </r>
  <r>
    <x v="9"/>
    <x v="1"/>
    <x v="1"/>
    <x v="2"/>
    <x v="0"/>
    <x v="3"/>
    <n v="39597.410000000003"/>
  </r>
  <r>
    <x v="5"/>
    <x v="1"/>
    <x v="2"/>
    <x v="1"/>
    <x v="1"/>
    <x v="2"/>
    <n v="6117.49"/>
  </r>
  <r>
    <x v="7"/>
    <x v="1"/>
    <x v="1"/>
    <x v="0"/>
    <x v="1"/>
    <x v="0"/>
    <n v="13393.76"/>
  </r>
  <r>
    <x v="5"/>
    <x v="0"/>
    <x v="0"/>
    <x v="0"/>
    <x v="1"/>
    <x v="2"/>
    <n v="5266.37"/>
  </r>
  <r>
    <x v="2"/>
    <x v="0"/>
    <x v="2"/>
    <x v="3"/>
    <x v="1"/>
    <x v="2"/>
    <n v="4719.74"/>
  </r>
  <r>
    <x v="6"/>
    <x v="1"/>
    <x v="1"/>
    <x v="0"/>
    <x v="1"/>
    <x v="2"/>
    <n v="11743.93"/>
  </r>
  <r>
    <x v="5"/>
    <x v="1"/>
    <x v="1"/>
    <x v="1"/>
    <x v="1"/>
    <x v="2"/>
    <n v="5377.46"/>
  </r>
  <r>
    <x v="9"/>
    <x v="1"/>
    <x v="3"/>
    <x v="3"/>
    <x v="1"/>
    <x v="1"/>
    <n v="7160.33"/>
  </r>
  <r>
    <x v="5"/>
    <x v="1"/>
    <x v="1"/>
    <x v="0"/>
    <x v="1"/>
    <x v="0"/>
    <n v="4402.2299999999996"/>
  </r>
  <r>
    <x v="6"/>
    <x v="0"/>
    <x v="0"/>
    <x v="0"/>
    <x v="1"/>
    <x v="3"/>
    <n v="11657.72"/>
  </r>
  <r>
    <x v="3"/>
    <x v="0"/>
    <x v="2"/>
    <x v="3"/>
    <x v="1"/>
    <x v="3"/>
    <n v="6402.29"/>
  </r>
  <r>
    <x v="6"/>
    <x v="0"/>
    <x v="1"/>
    <x v="0"/>
    <x v="1"/>
    <x v="2"/>
    <n v="12622.18"/>
  </r>
  <r>
    <x v="0"/>
    <x v="1"/>
    <x v="1"/>
    <x v="0"/>
    <x v="1"/>
    <x v="0"/>
    <n v="1526.31"/>
  </r>
  <r>
    <x v="6"/>
    <x v="1"/>
    <x v="2"/>
    <x v="0"/>
    <x v="1"/>
    <x v="3"/>
    <n v="12323.94"/>
  </r>
  <r>
    <x v="0"/>
    <x v="0"/>
    <x v="1"/>
    <x v="3"/>
    <x v="0"/>
    <x v="1"/>
    <n v="36021.01"/>
  </r>
  <r>
    <x v="6"/>
    <x v="0"/>
    <x v="0"/>
    <x v="0"/>
    <x v="0"/>
    <x v="1"/>
    <n v="27533.91"/>
  </r>
  <r>
    <x v="8"/>
    <x v="1"/>
    <x v="1"/>
    <x v="0"/>
    <x v="1"/>
    <x v="3"/>
    <n v="10072.06"/>
  </r>
  <r>
    <x v="6"/>
    <x v="0"/>
    <x v="1"/>
    <x v="0"/>
    <x v="0"/>
    <x v="1"/>
    <n v="45008.959999999999"/>
  </r>
  <r>
    <x v="8"/>
    <x v="0"/>
    <x v="1"/>
    <x v="1"/>
    <x v="1"/>
    <x v="0"/>
    <n v="9872.7000000000007"/>
  </r>
  <r>
    <x v="0"/>
    <x v="1"/>
    <x v="4"/>
    <x v="1"/>
    <x v="1"/>
    <x v="1"/>
    <n v="2438.06"/>
  </r>
  <r>
    <x v="2"/>
    <x v="0"/>
    <x v="2"/>
    <x v="0"/>
    <x v="1"/>
    <x v="0"/>
    <n v="2974.13"/>
  </r>
  <r>
    <x v="8"/>
    <x v="1"/>
    <x v="1"/>
    <x v="0"/>
    <x v="1"/>
    <x v="2"/>
    <n v="10601.63"/>
  </r>
  <r>
    <x v="5"/>
    <x v="0"/>
    <x v="1"/>
    <x v="0"/>
    <x v="0"/>
    <x v="3"/>
    <n v="37270.15"/>
  </r>
  <r>
    <x v="7"/>
    <x v="1"/>
    <x v="1"/>
    <x v="3"/>
    <x v="1"/>
    <x v="2"/>
    <n v="14119.62"/>
  </r>
  <r>
    <x v="4"/>
    <x v="0"/>
    <x v="3"/>
    <x v="0"/>
    <x v="0"/>
    <x v="3"/>
    <n v="42111.66"/>
  </r>
  <r>
    <x v="8"/>
    <x v="0"/>
    <x v="2"/>
    <x v="3"/>
    <x v="1"/>
    <x v="3"/>
    <n v="11729.68"/>
  </r>
  <r>
    <x v="4"/>
    <x v="0"/>
    <x v="2"/>
    <x v="2"/>
    <x v="0"/>
    <x v="3"/>
    <n v="24106.91"/>
  </r>
  <r>
    <x v="0"/>
    <x v="0"/>
    <x v="0"/>
    <x v="0"/>
    <x v="1"/>
    <x v="0"/>
    <n v="1875.34"/>
  </r>
  <r>
    <x v="4"/>
    <x v="0"/>
    <x v="1"/>
    <x v="0"/>
    <x v="0"/>
    <x v="1"/>
    <n v="40974.160000000003"/>
  </r>
  <r>
    <x v="0"/>
    <x v="1"/>
    <x v="2"/>
    <x v="0"/>
    <x v="0"/>
    <x v="2"/>
    <n v="15817.99"/>
  </r>
  <r>
    <x v="0"/>
    <x v="0"/>
    <x v="1"/>
    <x v="1"/>
    <x v="1"/>
    <x v="1"/>
    <n v="18218.16"/>
  </r>
  <r>
    <x v="6"/>
    <x v="1"/>
    <x v="0"/>
    <x v="0"/>
    <x v="1"/>
    <x v="0"/>
    <n v="10965.45"/>
  </r>
  <r>
    <x v="5"/>
    <x v="0"/>
    <x v="4"/>
    <x v="3"/>
    <x v="0"/>
    <x v="0"/>
    <n v="46113.51"/>
  </r>
  <r>
    <x v="5"/>
    <x v="0"/>
    <x v="0"/>
    <x v="2"/>
    <x v="1"/>
    <x v="0"/>
    <n v="7151.09"/>
  </r>
  <r>
    <x v="8"/>
    <x v="0"/>
    <x v="1"/>
    <x v="3"/>
    <x v="1"/>
    <x v="2"/>
    <n v="12269.69"/>
  </r>
  <r>
    <x v="5"/>
    <x v="0"/>
    <x v="2"/>
    <x v="0"/>
    <x v="1"/>
    <x v="3"/>
    <n v="5458.05"/>
  </r>
  <r>
    <x v="8"/>
    <x v="1"/>
    <x v="0"/>
    <x v="0"/>
    <x v="1"/>
    <x v="0"/>
    <n v="8782.4699999999993"/>
  </r>
  <r>
    <x v="5"/>
    <x v="1"/>
    <x v="1"/>
    <x v="3"/>
    <x v="1"/>
    <x v="0"/>
    <n v="6600.36"/>
  </r>
  <r>
    <x v="1"/>
    <x v="1"/>
    <x v="3"/>
    <x v="0"/>
    <x v="1"/>
    <x v="1"/>
    <n v="1141.45"/>
  </r>
  <r>
    <x v="6"/>
    <x v="1"/>
    <x v="4"/>
    <x v="1"/>
    <x v="1"/>
    <x v="0"/>
    <n v="11576.13"/>
  </r>
  <r>
    <x v="7"/>
    <x v="1"/>
    <x v="2"/>
    <x v="0"/>
    <x v="1"/>
    <x v="3"/>
    <n v="13129.6"/>
  </r>
  <r>
    <x v="0"/>
    <x v="0"/>
    <x v="2"/>
    <x v="2"/>
    <x v="1"/>
    <x v="0"/>
    <n v="4391.6499999999996"/>
  </r>
  <r>
    <x v="4"/>
    <x v="1"/>
    <x v="3"/>
    <x v="0"/>
    <x v="1"/>
    <x v="0"/>
    <n v="8457.82"/>
  </r>
  <r>
    <x v="2"/>
    <x v="0"/>
    <x v="0"/>
    <x v="1"/>
    <x v="1"/>
    <x v="1"/>
    <n v="3392.37"/>
  </r>
  <r>
    <x v="9"/>
    <x v="1"/>
    <x v="2"/>
    <x v="0"/>
    <x v="1"/>
    <x v="1"/>
    <n v="5966.89"/>
  </r>
  <r>
    <x v="9"/>
    <x v="1"/>
    <x v="1"/>
    <x v="1"/>
    <x v="1"/>
    <x v="0"/>
    <n v="6849.03"/>
  </r>
  <r>
    <x v="9"/>
    <x v="1"/>
    <x v="2"/>
    <x v="2"/>
    <x v="1"/>
    <x v="3"/>
    <n v="8891.14"/>
  </r>
  <r>
    <x v="0"/>
    <x v="0"/>
    <x v="0"/>
    <x v="0"/>
    <x v="1"/>
    <x v="2"/>
    <n v="2690.11"/>
  </r>
  <r>
    <x v="4"/>
    <x v="0"/>
    <x v="0"/>
    <x v="1"/>
    <x v="1"/>
    <x v="0"/>
    <n v="26140.36"/>
  </r>
  <r>
    <x v="3"/>
    <x v="1"/>
    <x v="1"/>
    <x v="4"/>
    <x v="1"/>
    <x v="1"/>
    <n v="6653.79"/>
  </r>
  <r>
    <x v="9"/>
    <x v="1"/>
    <x v="0"/>
    <x v="1"/>
    <x v="1"/>
    <x v="0"/>
    <n v="6282.24"/>
  </r>
  <r>
    <x v="5"/>
    <x v="0"/>
    <x v="0"/>
    <x v="3"/>
    <x v="1"/>
    <x v="0"/>
    <n v="6311.95"/>
  </r>
  <r>
    <x v="0"/>
    <x v="1"/>
    <x v="1"/>
    <x v="2"/>
    <x v="1"/>
    <x v="0"/>
    <n v="3443.06"/>
  </r>
  <r>
    <x v="0"/>
    <x v="1"/>
    <x v="0"/>
    <x v="1"/>
    <x v="1"/>
    <x v="2"/>
    <n v="2789.06"/>
  </r>
  <r>
    <x v="0"/>
    <x v="0"/>
    <x v="2"/>
    <x v="0"/>
    <x v="1"/>
    <x v="3"/>
    <n v="2585.85"/>
  </r>
  <r>
    <x v="8"/>
    <x v="0"/>
    <x v="3"/>
    <x v="2"/>
    <x v="0"/>
    <x v="3"/>
    <n v="46255.11"/>
  </r>
  <r>
    <x v="0"/>
    <x v="1"/>
    <x v="0"/>
    <x v="5"/>
    <x v="1"/>
    <x v="2"/>
    <n v="4877.9799999999996"/>
  </r>
  <r>
    <x v="3"/>
    <x v="1"/>
    <x v="0"/>
    <x v="1"/>
    <x v="0"/>
    <x v="1"/>
    <n v="19719.689999999999"/>
  </r>
  <r>
    <x v="6"/>
    <x v="1"/>
    <x v="0"/>
    <x v="0"/>
    <x v="0"/>
    <x v="3"/>
    <n v="27218.44"/>
  </r>
  <r>
    <x v="5"/>
    <x v="0"/>
    <x v="1"/>
    <x v="0"/>
    <x v="1"/>
    <x v="2"/>
    <n v="5272.18"/>
  </r>
  <r>
    <x v="0"/>
    <x v="1"/>
    <x v="3"/>
    <x v="0"/>
    <x v="1"/>
    <x v="0"/>
    <n v="1682.6"/>
  </r>
  <r>
    <x v="6"/>
    <x v="1"/>
    <x v="1"/>
    <x v="1"/>
    <x v="1"/>
    <x v="2"/>
    <n v="11945.13"/>
  </r>
  <r>
    <x v="7"/>
    <x v="0"/>
    <x v="0"/>
    <x v="0"/>
    <x v="0"/>
    <x v="2"/>
    <n v="29330.98"/>
  </r>
  <r>
    <x v="5"/>
    <x v="0"/>
    <x v="0"/>
    <x v="5"/>
    <x v="1"/>
    <x v="1"/>
    <n v="7243.81"/>
  </r>
  <r>
    <x v="8"/>
    <x v="1"/>
    <x v="2"/>
    <x v="0"/>
    <x v="1"/>
    <x v="3"/>
    <n v="10422.92"/>
  </r>
  <r>
    <x v="4"/>
    <x v="1"/>
    <x v="3"/>
    <x v="3"/>
    <x v="0"/>
    <x v="1"/>
    <n v="44202.65"/>
  </r>
  <r>
    <x v="7"/>
    <x v="1"/>
    <x v="1"/>
    <x v="0"/>
    <x v="1"/>
    <x v="3"/>
    <n v="13555"/>
  </r>
  <r>
    <x v="7"/>
    <x v="0"/>
    <x v="4"/>
    <x v="0"/>
    <x v="1"/>
    <x v="0"/>
    <n v="13063.88"/>
  </r>
  <r>
    <x v="9"/>
    <x v="0"/>
    <x v="2"/>
    <x v="3"/>
    <x v="0"/>
    <x v="3"/>
    <n v="19798.05"/>
  </r>
  <r>
    <x v="0"/>
    <x v="1"/>
    <x v="0"/>
    <x v="1"/>
    <x v="1"/>
    <x v="2"/>
    <n v="2221.56"/>
  </r>
  <r>
    <x v="1"/>
    <x v="0"/>
    <x v="4"/>
    <x v="0"/>
    <x v="1"/>
    <x v="1"/>
    <n v="1634.57"/>
  </r>
  <r>
    <x v="0"/>
    <x v="0"/>
    <x v="2"/>
    <x v="0"/>
    <x v="1"/>
    <x v="2"/>
    <n v="2117.34"/>
  </r>
  <r>
    <x v="4"/>
    <x v="1"/>
    <x v="2"/>
    <x v="0"/>
    <x v="1"/>
    <x v="3"/>
    <n v="8688.86"/>
  </r>
  <r>
    <x v="6"/>
    <x v="1"/>
    <x v="4"/>
    <x v="0"/>
    <x v="0"/>
    <x v="1"/>
    <n v="48673.56"/>
  </r>
  <r>
    <x v="2"/>
    <x v="1"/>
    <x v="0"/>
    <x v="2"/>
    <x v="1"/>
    <x v="3"/>
    <n v="4661.29"/>
  </r>
  <r>
    <x v="4"/>
    <x v="1"/>
    <x v="3"/>
    <x v="0"/>
    <x v="1"/>
    <x v="1"/>
    <n v="8125.78"/>
  </r>
  <r>
    <x v="6"/>
    <x v="0"/>
    <x v="3"/>
    <x v="0"/>
    <x v="1"/>
    <x v="0"/>
    <n v="12644.59"/>
  </r>
  <r>
    <x v="2"/>
    <x v="0"/>
    <x v="0"/>
    <x v="3"/>
    <x v="1"/>
    <x v="3"/>
    <n v="4564.1899999999996"/>
  </r>
  <r>
    <x v="2"/>
    <x v="1"/>
    <x v="1"/>
    <x v="2"/>
    <x v="1"/>
    <x v="3"/>
    <n v="4846.92"/>
  </r>
  <r>
    <x v="9"/>
    <x v="0"/>
    <x v="1"/>
    <x v="1"/>
    <x v="1"/>
    <x v="1"/>
    <n v="7633.72"/>
  </r>
  <r>
    <x v="7"/>
    <x v="1"/>
    <x v="3"/>
    <x v="2"/>
    <x v="1"/>
    <x v="0"/>
    <n v="15170.07"/>
  </r>
  <r>
    <x v="3"/>
    <x v="0"/>
    <x v="2"/>
    <x v="0"/>
    <x v="0"/>
    <x v="0"/>
    <n v="17496.310000000001"/>
  </r>
  <r>
    <x v="0"/>
    <x v="1"/>
    <x v="0"/>
    <x v="1"/>
    <x v="1"/>
    <x v="2"/>
    <n v="2639.04"/>
  </r>
  <r>
    <x v="1"/>
    <x v="1"/>
    <x v="1"/>
    <x v="0"/>
    <x v="0"/>
    <x v="3"/>
    <n v="33732.69"/>
  </r>
  <r>
    <x v="6"/>
    <x v="0"/>
    <x v="0"/>
    <x v="2"/>
    <x v="1"/>
    <x v="2"/>
    <n v="14382.71"/>
  </r>
  <r>
    <x v="9"/>
    <x v="0"/>
    <x v="0"/>
    <x v="1"/>
    <x v="1"/>
    <x v="0"/>
    <n v="7626.99"/>
  </r>
  <r>
    <x v="3"/>
    <x v="1"/>
    <x v="2"/>
    <x v="3"/>
    <x v="1"/>
    <x v="2"/>
    <n v="5257.51"/>
  </r>
  <r>
    <x v="0"/>
    <x v="0"/>
    <x v="1"/>
    <x v="0"/>
    <x v="1"/>
    <x v="1"/>
    <n v="2473.33"/>
  </r>
  <r>
    <x v="9"/>
    <x v="0"/>
    <x v="0"/>
    <x v="0"/>
    <x v="0"/>
    <x v="2"/>
    <n v="21774.32"/>
  </r>
  <r>
    <x v="9"/>
    <x v="1"/>
    <x v="2"/>
    <x v="0"/>
    <x v="0"/>
    <x v="3"/>
    <n v="35069.370000000003"/>
  </r>
  <r>
    <x v="7"/>
    <x v="0"/>
    <x v="0"/>
    <x v="0"/>
    <x v="1"/>
    <x v="0"/>
    <n v="13041.92"/>
  </r>
  <r>
    <x v="3"/>
    <x v="0"/>
    <x v="1"/>
    <x v="1"/>
    <x v="1"/>
    <x v="1"/>
    <n v="5245.23"/>
  </r>
  <r>
    <x v="7"/>
    <x v="0"/>
    <x v="0"/>
    <x v="0"/>
    <x v="1"/>
    <x v="0"/>
    <n v="13451.12"/>
  </r>
  <r>
    <x v="7"/>
    <x v="0"/>
    <x v="1"/>
    <x v="0"/>
    <x v="1"/>
    <x v="0"/>
    <n v="13462.52"/>
  </r>
  <r>
    <x v="5"/>
    <x v="1"/>
    <x v="1"/>
    <x v="1"/>
    <x v="1"/>
    <x v="0"/>
    <n v="5488.26"/>
  </r>
  <r>
    <x v="3"/>
    <x v="1"/>
    <x v="3"/>
    <x v="0"/>
    <x v="1"/>
    <x v="2"/>
    <n v="4320.41"/>
  </r>
  <r>
    <x v="9"/>
    <x v="1"/>
    <x v="2"/>
    <x v="0"/>
    <x v="1"/>
    <x v="0"/>
    <n v="6250.44"/>
  </r>
  <r>
    <x v="4"/>
    <x v="1"/>
    <x v="1"/>
    <x v="3"/>
    <x v="1"/>
    <x v="3"/>
    <n v="25333.33"/>
  </r>
  <r>
    <x v="0"/>
    <x v="0"/>
    <x v="2"/>
    <x v="3"/>
    <x v="1"/>
    <x v="0"/>
    <n v="2913.57"/>
  </r>
  <r>
    <x v="6"/>
    <x v="0"/>
    <x v="2"/>
    <x v="1"/>
    <x v="1"/>
    <x v="0"/>
    <n v="12032.33"/>
  </r>
  <r>
    <x v="7"/>
    <x v="0"/>
    <x v="3"/>
    <x v="0"/>
    <x v="1"/>
    <x v="1"/>
    <n v="13470.8"/>
  </r>
  <r>
    <x v="9"/>
    <x v="1"/>
    <x v="1"/>
    <x v="1"/>
    <x v="1"/>
    <x v="1"/>
    <n v="6289.75"/>
  </r>
  <r>
    <x v="2"/>
    <x v="1"/>
    <x v="4"/>
    <x v="1"/>
    <x v="1"/>
    <x v="1"/>
    <n v="2927.06"/>
  </r>
  <r>
    <x v="5"/>
    <x v="0"/>
    <x v="1"/>
    <x v="1"/>
    <x v="1"/>
    <x v="0"/>
    <n v="6238.3"/>
  </r>
  <r>
    <x v="4"/>
    <x v="1"/>
    <x v="0"/>
    <x v="4"/>
    <x v="1"/>
    <x v="0"/>
    <n v="10096.969999999999"/>
  </r>
  <r>
    <x v="9"/>
    <x v="0"/>
    <x v="3"/>
    <x v="0"/>
    <x v="1"/>
    <x v="0"/>
    <n v="7348.14"/>
  </r>
  <r>
    <x v="3"/>
    <x v="1"/>
    <x v="3"/>
    <x v="3"/>
    <x v="1"/>
    <x v="1"/>
    <n v="4673.3900000000003"/>
  </r>
  <r>
    <x v="6"/>
    <x v="0"/>
    <x v="0"/>
    <x v="0"/>
    <x v="1"/>
    <x v="0"/>
    <n v="12233.83"/>
  </r>
  <r>
    <x v="9"/>
    <x v="1"/>
    <x v="0"/>
    <x v="3"/>
    <x v="1"/>
    <x v="3"/>
    <n v="32108.66"/>
  </r>
  <r>
    <x v="5"/>
    <x v="0"/>
    <x v="2"/>
    <x v="4"/>
    <x v="1"/>
    <x v="2"/>
    <n v="8965.7999999999993"/>
  </r>
  <r>
    <x v="1"/>
    <x v="1"/>
    <x v="0"/>
    <x v="3"/>
    <x v="1"/>
    <x v="1"/>
    <n v="2304"/>
  </r>
  <r>
    <x v="8"/>
    <x v="1"/>
    <x v="0"/>
    <x v="0"/>
    <x v="1"/>
    <x v="1"/>
    <n v="9487.64"/>
  </r>
  <r>
    <x v="1"/>
    <x v="1"/>
    <x v="2"/>
    <x v="0"/>
    <x v="1"/>
    <x v="1"/>
    <n v="1121.8699999999999"/>
  </r>
  <r>
    <x v="4"/>
    <x v="0"/>
    <x v="4"/>
    <x v="1"/>
    <x v="1"/>
    <x v="1"/>
    <n v="9549.57"/>
  </r>
  <r>
    <x v="1"/>
    <x v="0"/>
    <x v="4"/>
    <x v="0"/>
    <x v="1"/>
    <x v="3"/>
    <n v="2217.4699999999998"/>
  </r>
  <r>
    <x v="0"/>
    <x v="1"/>
    <x v="2"/>
    <x v="0"/>
    <x v="1"/>
    <x v="2"/>
    <n v="1628.47"/>
  </r>
  <r>
    <x v="7"/>
    <x v="1"/>
    <x v="4"/>
    <x v="0"/>
    <x v="1"/>
    <x v="1"/>
    <n v="12982.87"/>
  </r>
  <r>
    <x v="6"/>
    <x v="0"/>
    <x v="3"/>
    <x v="1"/>
    <x v="1"/>
    <x v="0"/>
    <n v="11674.13"/>
  </r>
  <r>
    <x v="9"/>
    <x v="1"/>
    <x v="3"/>
    <x v="3"/>
    <x v="1"/>
    <x v="0"/>
    <n v="7160.09"/>
  </r>
  <r>
    <x v="5"/>
    <x v="1"/>
    <x v="1"/>
    <x v="1"/>
    <x v="0"/>
    <x v="3"/>
    <n v="39047.279999999999"/>
  </r>
  <r>
    <x v="9"/>
    <x v="1"/>
    <x v="1"/>
    <x v="0"/>
    <x v="1"/>
    <x v="2"/>
    <n v="6358.78"/>
  </r>
  <r>
    <x v="0"/>
    <x v="1"/>
    <x v="0"/>
    <x v="2"/>
    <x v="0"/>
    <x v="0"/>
    <n v="19933.46"/>
  </r>
  <r>
    <x v="6"/>
    <x v="1"/>
    <x v="5"/>
    <x v="0"/>
    <x v="1"/>
    <x v="3"/>
    <n v="11534.87"/>
  </r>
  <r>
    <x v="8"/>
    <x v="1"/>
    <x v="4"/>
    <x v="3"/>
    <x v="0"/>
    <x v="1"/>
    <n v="47462.89"/>
  </r>
  <r>
    <x v="2"/>
    <x v="0"/>
    <x v="0"/>
    <x v="1"/>
    <x v="1"/>
    <x v="2"/>
    <n v="4527.18"/>
  </r>
  <r>
    <x v="9"/>
    <x v="1"/>
    <x v="1"/>
    <x v="3"/>
    <x v="0"/>
    <x v="0"/>
    <n v="38998.550000000003"/>
  </r>
  <r>
    <x v="3"/>
    <x v="1"/>
    <x v="0"/>
    <x v="1"/>
    <x v="0"/>
    <x v="2"/>
    <n v="20009.63"/>
  </r>
  <r>
    <x v="3"/>
    <x v="1"/>
    <x v="3"/>
    <x v="1"/>
    <x v="1"/>
    <x v="1"/>
    <n v="3875.73"/>
  </r>
  <r>
    <x v="8"/>
    <x v="1"/>
    <x v="1"/>
    <x v="1"/>
    <x v="0"/>
    <x v="1"/>
    <n v="41999.519999999997"/>
  </r>
  <r>
    <x v="0"/>
    <x v="1"/>
    <x v="0"/>
    <x v="1"/>
    <x v="1"/>
    <x v="2"/>
    <n v="12609.89"/>
  </r>
  <r>
    <x v="9"/>
    <x v="1"/>
    <x v="3"/>
    <x v="1"/>
    <x v="0"/>
    <x v="3"/>
    <n v="41034.22"/>
  </r>
  <r>
    <x v="4"/>
    <x v="1"/>
    <x v="3"/>
    <x v="1"/>
    <x v="1"/>
    <x v="2"/>
    <n v="28468.92"/>
  </r>
  <r>
    <x v="0"/>
    <x v="0"/>
    <x v="3"/>
    <x v="1"/>
    <x v="1"/>
    <x v="2"/>
    <n v="2730.11"/>
  </r>
  <r>
    <x v="2"/>
    <x v="0"/>
    <x v="0"/>
    <x v="0"/>
    <x v="1"/>
    <x v="0"/>
    <n v="3353.28"/>
  </r>
  <r>
    <x v="7"/>
    <x v="0"/>
    <x v="3"/>
    <x v="1"/>
    <x v="1"/>
    <x v="1"/>
    <n v="14474.68"/>
  </r>
  <r>
    <x v="4"/>
    <x v="1"/>
    <x v="2"/>
    <x v="2"/>
    <x v="1"/>
    <x v="3"/>
    <n v="9500.57"/>
  </r>
  <r>
    <x v="8"/>
    <x v="1"/>
    <x v="3"/>
    <x v="3"/>
    <x v="1"/>
    <x v="2"/>
    <n v="26467.1"/>
  </r>
  <r>
    <x v="3"/>
    <x v="1"/>
    <x v="0"/>
    <x v="1"/>
    <x v="1"/>
    <x v="0"/>
    <n v="4746.34"/>
  </r>
  <r>
    <x v="8"/>
    <x v="1"/>
    <x v="2"/>
    <x v="3"/>
    <x v="0"/>
    <x v="2"/>
    <n v="23967.38"/>
  </r>
  <r>
    <x v="9"/>
    <x v="1"/>
    <x v="0"/>
    <x v="1"/>
    <x v="1"/>
    <x v="2"/>
    <n v="7518.03"/>
  </r>
  <r>
    <x v="0"/>
    <x v="1"/>
    <x v="0"/>
    <x v="3"/>
    <x v="1"/>
    <x v="3"/>
    <n v="3279.87"/>
  </r>
  <r>
    <x v="5"/>
    <x v="0"/>
    <x v="1"/>
    <x v="4"/>
    <x v="1"/>
    <x v="1"/>
    <n v="8596.83"/>
  </r>
  <r>
    <x v="4"/>
    <x v="0"/>
    <x v="0"/>
    <x v="2"/>
    <x v="1"/>
    <x v="1"/>
    <n v="10702.64"/>
  </r>
  <r>
    <x v="3"/>
    <x v="0"/>
    <x v="2"/>
    <x v="0"/>
    <x v="1"/>
    <x v="3"/>
    <n v="4992.38"/>
  </r>
  <r>
    <x v="0"/>
    <x v="0"/>
    <x v="2"/>
    <x v="0"/>
    <x v="1"/>
    <x v="2"/>
    <n v="2527.8200000000002"/>
  </r>
  <r>
    <x v="0"/>
    <x v="0"/>
    <x v="4"/>
    <x v="0"/>
    <x v="1"/>
    <x v="0"/>
    <n v="1759.34"/>
  </r>
  <r>
    <x v="2"/>
    <x v="1"/>
    <x v="3"/>
    <x v="0"/>
    <x v="1"/>
    <x v="1"/>
    <n v="2322.62"/>
  </r>
  <r>
    <x v="2"/>
    <x v="1"/>
    <x v="2"/>
    <x v="0"/>
    <x v="0"/>
    <x v="3"/>
    <n v="16138.76"/>
  </r>
  <r>
    <x v="4"/>
    <x v="1"/>
    <x v="4"/>
    <x v="0"/>
    <x v="1"/>
    <x v="1"/>
    <n v="7804.16"/>
  </r>
  <r>
    <x v="2"/>
    <x v="1"/>
    <x v="0"/>
    <x v="1"/>
    <x v="1"/>
    <x v="1"/>
    <n v="2902.91"/>
  </r>
  <r>
    <x v="9"/>
    <x v="0"/>
    <x v="4"/>
    <x v="2"/>
    <x v="1"/>
    <x v="3"/>
    <n v="9704.67"/>
  </r>
  <r>
    <x v="5"/>
    <x v="0"/>
    <x v="1"/>
    <x v="0"/>
    <x v="1"/>
    <x v="1"/>
    <n v="4889.04"/>
  </r>
  <r>
    <x v="8"/>
    <x v="1"/>
    <x v="0"/>
    <x v="1"/>
    <x v="1"/>
    <x v="3"/>
    <n v="25517.11"/>
  </r>
  <r>
    <x v="3"/>
    <x v="1"/>
    <x v="2"/>
    <x v="0"/>
    <x v="1"/>
    <x v="3"/>
    <n v="4500.34"/>
  </r>
  <r>
    <x v="3"/>
    <x v="1"/>
    <x v="0"/>
    <x v="2"/>
    <x v="0"/>
    <x v="0"/>
    <n v="19199.939999999999"/>
  </r>
  <r>
    <x v="2"/>
    <x v="0"/>
    <x v="1"/>
    <x v="1"/>
    <x v="1"/>
    <x v="3"/>
    <n v="16796.41"/>
  </r>
  <r>
    <x v="0"/>
    <x v="1"/>
    <x v="1"/>
    <x v="4"/>
    <x v="1"/>
    <x v="3"/>
    <n v="4915.0600000000004"/>
  </r>
  <r>
    <x v="9"/>
    <x v="0"/>
    <x v="0"/>
    <x v="1"/>
    <x v="1"/>
    <x v="0"/>
    <n v="7624.63"/>
  </r>
  <r>
    <x v="9"/>
    <x v="1"/>
    <x v="1"/>
    <x v="2"/>
    <x v="1"/>
    <x v="2"/>
    <n v="8410.0499999999993"/>
  </r>
  <r>
    <x v="9"/>
    <x v="0"/>
    <x v="0"/>
    <x v="1"/>
    <x v="1"/>
    <x v="2"/>
    <n v="28340.19"/>
  </r>
  <r>
    <x v="3"/>
    <x v="1"/>
    <x v="1"/>
    <x v="0"/>
    <x v="1"/>
    <x v="3"/>
    <n v="4518.83"/>
  </r>
  <r>
    <x v="0"/>
    <x v="0"/>
    <x v="2"/>
    <x v="0"/>
    <x v="0"/>
    <x v="3"/>
    <n v="14571.89"/>
  </r>
  <r>
    <x v="2"/>
    <x v="0"/>
    <x v="2"/>
    <x v="1"/>
    <x v="1"/>
    <x v="0"/>
    <n v="3378.91"/>
  </r>
  <r>
    <x v="5"/>
    <x v="0"/>
    <x v="0"/>
    <x v="3"/>
    <x v="1"/>
    <x v="3"/>
    <n v="7144.86"/>
  </r>
  <r>
    <x v="4"/>
    <x v="0"/>
    <x v="1"/>
    <x v="3"/>
    <x v="1"/>
    <x v="0"/>
    <n v="10118.42"/>
  </r>
  <r>
    <x v="5"/>
    <x v="1"/>
    <x v="0"/>
    <x v="1"/>
    <x v="1"/>
    <x v="1"/>
    <n v="5484.47"/>
  </r>
  <r>
    <x v="2"/>
    <x v="0"/>
    <x v="2"/>
    <x v="2"/>
    <x v="0"/>
    <x v="2"/>
    <n v="16420.490000000002"/>
  </r>
  <r>
    <x v="5"/>
    <x v="0"/>
    <x v="2"/>
    <x v="2"/>
    <x v="1"/>
    <x v="3"/>
    <n v="7986.48"/>
  </r>
  <r>
    <x v="5"/>
    <x v="0"/>
    <x v="1"/>
    <x v="2"/>
    <x v="1"/>
    <x v="0"/>
    <n v="7418.52"/>
  </r>
  <r>
    <x v="7"/>
    <x v="0"/>
    <x v="3"/>
    <x v="0"/>
    <x v="1"/>
    <x v="1"/>
    <n v="13887.97"/>
  </r>
  <r>
    <x v="3"/>
    <x v="0"/>
    <x v="3"/>
    <x v="2"/>
    <x v="1"/>
    <x v="3"/>
    <n v="6551.75"/>
  </r>
  <r>
    <x v="5"/>
    <x v="0"/>
    <x v="0"/>
    <x v="0"/>
    <x v="1"/>
    <x v="2"/>
    <n v="5267.82"/>
  </r>
  <r>
    <x v="2"/>
    <x v="1"/>
    <x v="2"/>
    <x v="3"/>
    <x v="0"/>
    <x v="2"/>
    <n v="17361.77"/>
  </r>
  <r>
    <x v="0"/>
    <x v="1"/>
    <x v="1"/>
    <x v="0"/>
    <x v="0"/>
    <x v="0"/>
    <n v="34472.839999999997"/>
  </r>
  <r>
    <x v="0"/>
    <x v="1"/>
    <x v="0"/>
    <x v="0"/>
    <x v="1"/>
    <x v="0"/>
    <n v="1972.95"/>
  </r>
  <r>
    <x v="4"/>
    <x v="1"/>
    <x v="0"/>
    <x v="0"/>
    <x v="1"/>
    <x v="0"/>
    <n v="21232.18"/>
  </r>
  <r>
    <x v="4"/>
    <x v="1"/>
    <x v="2"/>
    <x v="1"/>
    <x v="1"/>
    <x v="3"/>
    <n v="8627.5400000000009"/>
  </r>
  <r>
    <x v="2"/>
    <x v="1"/>
    <x v="1"/>
    <x v="3"/>
    <x v="1"/>
    <x v="2"/>
    <n v="4433.3900000000003"/>
  </r>
  <r>
    <x v="2"/>
    <x v="1"/>
    <x v="0"/>
    <x v="3"/>
    <x v="1"/>
    <x v="3"/>
    <n v="4438.26"/>
  </r>
  <r>
    <x v="4"/>
    <x v="1"/>
    <x v="0"/>
    <x v="2"/>
    <x v="0"/>
    <x v="2"/>
    <n v="24915.22"/>
  </r>
  <r>
    <x v="0"/>
    <x v="1"/>
    <x v="0"/>
    <x v="3"/>
    <x v="1"/>
    <x v="3"/>
    <n v="23241.47"/>
  </r>
  <r>
    <x v="8"/>
    <x v="1"/>
    <x v="0"/>
    <x v="1"/>
    <x v="1"/>
    <x v="3"/>
    <n v="9957.7199999999993"/>
  </r>
  <r>
    <x v="4"/>
    <x v="0"/>
    <x v="2"/>
    <x v="0"/>
    <x v="1"/>
    <x v="0"/>
    <n v="8269.0400000000009"/>
  </r>
  <r>
    <x v="9"/>
    <x v="1"/>
    <x v="2"/>
    <x v="3"/>
    <x v="0"/>
    <x v="1"/>
    <n v="18767.740000000002"/>
  </r>
  <r>
    <x v="7"/>
    <x v="0"/>
    <x v="1"/>
    <x v="5"/>
    <x v="1"/>
    <x v="1"/>
    <n v="36580.28"/>
  </r>
  <r>
    <x v="4"/>
    <x v="1"/>
    <x v="1"/>
    <x v="1"/>
    <x v="1"/>
    <x v="2"/>
    <n v="8765.25"/>
  </r>
  <r>
    <x v="5"/>
    <x v="0"/>
    <x v="0"/>
    <x v="0"/>
    <x v="1"/>
    <x v="0"/>
    <n v="5383.54"/>
  </r>
  <r>
    <x v="6"/>
    <x v="1"/>
    <x v="0"/>
    <x v="0"/>
    <x v="1"/>
    <x v="2"/>
    <n v="12124.99"/>
  </r>
  <r>
    <x v="0"/>
    <x v="0"/>
    <x v="2"/>
    <x v="1"/>
    <x v="1"/>
    <x v="2"/>
    <n v="2709.24"/>
  </r>
  <r>
    <x v="2"/>
    <x v="0"/>
    <x v="1"/>
    <x v="3"/>
    <x v="1"/>
    <x v="0"/>
    <n v="3987.93"/>
  </r>
  <r>
    <x v="8"/>
    <x v="0"/>
    <x v="3"/>
    <x v="2"/>
    <x v="1"/>
    <x v="2"/>
    <n v="12495.29"/>
  </r>
  <r>
    <x v="0"/>
    <x v="0"/>
    <x v="1"/>
    <x v="3"/>
    <x v="1"/>
    <x v="2"/>
    <n v="26018.95"/>
  </r>
  <r>
    <x v="8"/>
    <x v="1"/>
    <x v="3"/>
    <x v="0"/>
    <x v="1"/>
    <x v="0"/>
    <n v="8798.59"/>
  </r>
  <r>
    <x v="0"/>
    <x v="0"/>
    <x v="1"/>
    <x v="2"/>
    <x v="0"/>
    <x v="1"/>
    <n v="35595.589999999997"/>
  </r>
  <r>
    <x v="4"/>
    <x v="1"/>
    <x v="3"/>
    <x v="1"/>
    <x v="0"/>
    <x v="1"/>
    <n v="42211.14"/>
  </r>
  <r>
    <x v="1"/>
    <x v="1"/>
    <x v="2"/>
    <x v="1"/>
    <x v="1"/>
    <x v="1"/>
    <n v="1711.03"/>
  </r>
  <r>
    <x v="4"/>
    <x v="0"/>
    <x v="4"/>
    <x v="1"/>
    <x v="1"/>
    <x v="1"/>
    <n v="8569.86"/>
  </r>
  <r>
    <x v="0"/>
    <x v="0"/>
    <x v="1"/>
    <x v="0"/>
    <x v="1"/>
    <x v="0"/>
    <n v="2020.18"/>
  </r>
  <r>
    <x v="0"/>
    <x v="1"/>
    <x v="0"/>
    <x v="1"/>
    <x v="0"/>
    <x v="2"/>
    <n v="16450.89"/>
  </r>
  <r>
    <x v="0"/>
    <x v="1"/>
    <x v="2"/>
    <x v="0"/>
    <x v="1"/>
    <x v="2"/>
    <n v="21595.38"/>
  </r>
  <r>
    <x v="8"/>
    <x v="1"/>
    <x v="1"/>
    <x v="0"/>
    <x v="1"/>
    <x v="0"/>
    <n v="9850.43"/>
  </r>
  <r>
    <x v="5"/>
    <x v="0"/>
    <x v="5"/>
    <x v="3"/>
    <x v="1"/>
    <x v="3"/>
    <n v="6877.98"/>
  </r>
  <r>
    <x v="4"/>
    <x v="0"/>
    <x v="2"/>
    <x v="1"/>
    <x v="0"/>
    <x v="2"/>
    <n v="21677.279999999999"/>
  </r>
  <r>
    <x v="8"/>
    <x v="0"/>
    <x v="3"/>
    <x v="0"/>
    <x v="0"/>
    <x v="1"/>
    <n v="44423.8"/>
  </r>
  <r>
    <x v="2"/>
    <x v="0"/>
    <x v="0"/>
    <x v="0"/>
    <x v="1"/>
    <x v="3"/>
    <n v="4137.5200000000004"/>
  </r>
  <r>
    <x v="1"/>
    <x v="1"/>
    <x v="2"/>
    <x v="0"/>
    <x v="0"/>
    <x v="3"/>
    <n v="13747.87"/>
  </r>
  <r>
    <x v="7"/>
    <x v="1"/>
    <x v="3"/>
    <x v="0"/>
    <x v="1"/>
    <x v="2"/>
    <n v="12950.07"/>
  </r>
  <r>
    <x v="8"/>
    <x v="0"/>
    <x v="2"/>
    <x v="2"/>
    <x v="1"/>
    <x v="0"/>
    <n v="12094.48"/>
  </r>
  <r>
    <x v="0"/>
    <x v="1"/>
    <x v="3"/>
    <x v="3"/>
    <x v="0"/>
    <x v="1"/>
    <n v="37484.449999999997"/>
  </r>
  <r>
    <x v="9"/>
    <x v="0"/>
    <x v="1"/>
    <x v="1"/>
    <x v="0"/>
    <x v="2"/>
    <n v="39725.519999999997"/>
  </r>
  <r>
    <x v="0"/>
    <x v="1"/>
    <x v="0"/>
    <x v="0"/>
    <x v="1"/>
    <x v="3"/>
    <n v="2250.84"/>
  </r>
  <r>
    <x v="0"/>
    <x v="1"/>
    <x v="0"/>
    <x v="3"/>
    <x v="1"/>
    <x v="2"/>
    <n v="22493.66"/>
  </r>
  <r>
    <x v="3"/>
    <x v="0"/>
    <x v="0"/>
    <x v="0"/>
    <x v="0"/>
    <x v="2"/>
    <n v="20234.849999999999"/>
  </r>
  <r>
    <x v="1"/>
    <x v="1"/>
    <x v="2"/>
    <x v="0"/>
    <x v="1"/>
    <x v="3"/>
    <n v="1704.7"/>
  </r>
  <r>
    <x v="0"/>
    <x v="1"/>
    <x v="1"/>
    <x v="0"/>
    <x v="0"/>
    <x v="3"/>
    <n v="33475.82"/>
  </r>
  <r>
    <x v="2"/>
    <x v="0"/>
    <x v="0"/>
    <x v="0"/>
    <x v="1"/>
    <x v="0"/>
    <n v="3161.45"/>
  </r>
  <r>
    <x v="8"/>
    <x v="1"/>
    <x v="3"/>
    <x v="1"/>
    <x v="1"/>
    <x v="3"/>
    <n v="11394.07"/>
  </r>
  <r>
    <x v="9"/>
    <x v="0"/>
    <x v="2"/>
    <x v="3"/>
    <x v="0"/>
    <x v="2"/>
    <n v="21880.82"/>
  </r>
  <r>
    <x v="9"/>
    <x v="0"/>
    <x v="0"/>
    <x v="0"/>
    <x v="1"/>
    <x v="3"/>
    <n v="7325.05"/>
  </r>
  <r>
    <x v="0"/>
    <x v="1"/>
    <x v="4"/>
    <x v="1"/>
    <x v="0"/>
    <x v="1"/>
    <n v="44501.4"/>
  </r>
  <r>
    <x v="0"/>
    <x v="0"/>
    <x v="2"/>
    <x v="1"/>
    <x v="1"/>
    <x v="2"/>
    <n v="3594.17"/>
  </r>
  <r>
    <x v="4"/>
    <x v="1"/>
    <x v="1"/>
    <x v="0"/>
    <x v="0"/>
    <x v="0"/>
    <n v="39727.61"/>
  </r>
  <r>
    <x v="9"/>
    <x v="0"/>
    <x v="3"/>
    <x v="1"/>
    <x v="1"/>
    <x v="2"/>
    <n v="8023.14"/>
  </r>
  <r>
    <x v="7"/>
    <x v="1"/>
    <x v="0"/>
    <x v="0"/>
    <x v="1"/>
    <x v="3"/>
    <n v="14394.56"/>
  </r>
  <r>
    <x v="4"/>
    <x v="1"/>
    <x v="0"/>
    <x v="1"/>
    <x v="1"/>
    <x v="3"/>
    <n v="9288.0300000000007"/>
  </r>
  <r>
    <x v="4"/>
    <x v="1"/>
    <x v="0"/>
    <x v="2"/>
    <x v="0"/>
    <x v="0"/>
    <n v="25309.49"/>
  </r>
  <r>
    <x v="2"/>
    <x v="0"/>
    <x v="2"/>
    <x v="0"/>
    <x v="1"/>
    <x v="2"/>
    <n v="3353.47"/>
  </r>
  <r>
    <x v="8"/>
    <x v="1"/>
    <x v="0"/>
    <x v="0"/>
    <x v="1"/>
    <x v="2"/>
    <n v="10594.5"/>
  </r>
  <r>
    <x v="4"/>
    <x v="0"/>
    <x v="0"/>
    <x v="0"/>
    <x v="1"/>
    <x v="0"/>
    <n v="8277.52"/>
  </r>
  <r>
    <x v="9"/>
    <x v="0"/>
    <x v="1"/>
    <x v="0"/>
    <x v="1"/>
    <x v="1"/>
    <n v="17929.3"/>
  </r>
  <r>
    <x v="0"/>
    <x v="0"/>
    <x v="3"/>
    <x v="0"/>
    <x v="1"/>
    <x v="1"/>
    <n v="2480.98"/>
  </r>
  <r>
    <x v="3"/>
    <x v="1"/>
    <x v="1"/>
    <x v="1"/>
    <x v="1"/>
    <x v="2"/>
    <n v="4462.72"/>
  </r>
  <r>
    <x v="0"/>
    <x v="1"/>
    <x v="1"/>
    <x v="0"/>
    <x v="1"/>
    <x v="1"/>
    <n v="1981.58"/>
  </r>
  <r>
    <x v="6"/>
    <x v="1"/>
    <x v="0"/>
    <x v="1"/>
    <x v="1"/>
    <x v="1"/>
    <n v="11554.22"/>
  </r>
  <r>
    <x v="6"/>
    <x v="1"/>
    <x v="4"/>
    <x v="1"/>
    <x v="0"/>
    <x v="1"/>
    <n v="48970.25"/>
  </r>
  <r>
    <x v="5"/>
    <x v="1"/>
    <x v="0"/>
    <x v="2"/>
    <x v="1"/>
    <x v="2"/>
    <n v="6548.2"/>
  </r>
  <r>
    <x v="2"/>
    <x v="0"/>
    <x v="0"/>
    <x v="5"/>
    <x v="1"/>
    <x v="0"/>
    <n v="5708.87"/>
  </r>
  <r>
    <x v="9"/>
    <x v="0"/>
    <x v="0"/>
    <x v="1"/>
    <x v="1"/>
    <x v="0"/>
    <n v="7045.5"/>
  </r>
  <r>
    <x v="4"/>
    <x v="1"/>
    <x v="3"/>
    <x v="3"/>
    <x v="1"/>
    <x v="1"/>
    <n v="8978.19"/>
  </r>
  <r>
    <x v="5"/>
    <x v="1"/>
    <x v="4"/>
    <x v="0"/>
    <x v="1"/>
    <x v="3"/>
    <n v="5757.41"/>
  </r>
  <r>
    <x v="7"/>
    <x v="1"/>
    <x v="2"/>
    <x v="1"/>
    <x v="1"/>
    <x v="2"/>
    <n v="14349.85"/>
  </r>
  <r>
    <x v="8"/>
    <x v="0"/>
    <x v="1"/>
    <x v="1"/>
    <x v="1"/>
    <x v="1"/>
    <n v="10928.85"/>
  </r>
  <r>
    <x v="5"/>
    <x v="1"/>
    <x v="3"/>
    <x v="1"/>
    <x v="0"/>
    <x v="1"/>
    <n v="39871.699999999997"/>
  </r>
  <r>
    <x v="7"/>
    <x v="1"/>
    <x v="1"/>
    <x v="0"/>
    <x v="1"/>
    <x v="3"/>
    <n v="13974.46"/>
  </r>
  <r>
    <x v="0"/>
    <x v="1"/>
    <x v="1"/>
    <x v="0"/>
    <x v="1"/>
    <x v="2"/>
    <n v="1909.53"/>
  </r>
  <r>
    <x v="8"/>
    <x v="0"/>
    <x v="0"/>
    <x v="3"/>
    <x v="1"/>
    <x v="3"/>
    <n v="12096.65"/>
  </r>
  <r>
    <x v="6"/>
    <x v="0"/>
    <x v="5"/>
    <x v="0"/>
    <x v="1"/>
    <x v="3"/>
    <n v="13204.29"/>
  </r>
  <r>
    <x v="3"/>
    <x v="0"/>
    <x v="0"/>
    <x v="1"/>
    <x v="1"/>
    <x v="1"/>
    <n v="4562.84"/>
  </r>
  <r>
    <x v="4"/>
    <x v="0"/>
    <x v="1"/>
    <x v="1"/>
    <x v="1"/>
    <x v="0"/>
    <n v="8551.35"/>
  </r>
  <r>
    <x v="0"/>
    <x v="1"/>
    <x v="0"/>
    <x v="0"/>
    <x v="1"/>
    <x v="3"/>
    <n v="2102.2600000000002"/>
  </r>
  <r>
    <x v="2"/>
    <x v="1"/>
    <x v="1"/>
    <x v="0"/>
    <x v="0"/>
    <x v="1"/>
    <n v="34672.15"/>
  </r>
  <r>
    <x v="7"/>
    <x v="1"/>
    <x v="1"/>
    <x v="2"/>
    <x v="1"/>
    <x v="1"/>
    <n v="15161.53"/>
  </r>
  <r>
    <x v="1"/>
    <x v="1"/>
    <x v="2"/>
    <x v="3"/>
    <x v="1"/>
    <x v="1"/>
    <n v="11884.05"/>
  </r>
  <r>
    <x v="3"/>
    <x v="1"/>
    <x v="0"/>
    <x v="1"/>
    <x v="1"/>
    <x v="2"/>
    <n v="4454.3999999999996"/>
  </r>
  <r>
    <x v="5"/>
    <x v="1"/>
    <x v="2"/>
    <x v="1"/>
    <x v="1"/>
    <x v="2"/>
    <n v="5855.9"/>
  </r>
  <r>
    <x v="3"/>
    <x v="1"/>
    <x v="1"/>
    <x v="1"/>
    <x v="1"/>
    <x v="0"/>
    <n v="4076.5"/>
  </r>
  <r>
    <x v="7"/>
    <x v="0"/>
    <x v="1"/>
    <x v="3"/>
    <x v="1"/>
    <x v="2"/>
    <n v="15019.76"/>
  </r>
  <r>
    <x v="5"/>
    <x v="0"/>
    <x v="5"/>
    <x v="4"/>
    <x v="0"/>
    <x v="0"/>
    <n v="19023.259999999998"/>
  </r>
  <r>
    <x v="8"/>
    <x v="1"/>
    <x v="0"/>
    <x v="0"/>
    <x v="1"/>
    <x v="3"/>
    <n v="10796.35"/>
  </r>
  <r>
    <x v="6"/>
    <x v="1"/>
    <x v="1"/>
    <x v="0"/>
    <x v="1"/>
    <x v="2"/>
    <n v="11353.23"/>
  </r>
  <r>
    <x v="8"/>
    <x v="1"/>
    <x v="4"/>
    <x v="1"/>
    <x v="1"/>
    <x v="1"/>
    <n v="9748.91"/>
  </r>
  <r>
    <x v="6"/>
    <x v="1"/>
    <x v="2"/>
    <x v="0"/>
    <x v="1"/>
    <x v="0"/>
    <n v="10577.09"/>
  </r>
  <r>
    <x v="4"/>
    <x v="1"/>
    <x v="3"/>
    <x v="0"/>
    <x v="0"/>
    <x v="1"/>
    <n v="41676.080000000002"/>
  </r>
  <r>
    <x v="8"/>
    <x v="0"/>
    <x v="0"/>
    <x v="0"/>
    <x v="1"/>
    <x v="3"/>
    <n v="11286.54"/>
  </r>
  <r>
    <x v="0"/>
    <x v="1"/>
    <x v="1"/>
    <x v="2"/>
    <x v="1"/>
    <x v="0"/>
    <n v="3591.48"/>
  </r>
  <r>
    <x v="0"/>
    <x v="0"/>
    <x v="1"/>
    <x v="0"/>
    <x v="0"/>
    <x v="2"/>
    <n v="33907.550000000003"/>
  </r>
  <r>
    <x v="4"/>
    <x v="0"/>
    <x v="1"/>
    <x v="5"/>
    <x v="1"/>
    <x v="0"/>
    <n v="11299.34"/>
  </r>
  <r>
    <x v="1"/>
    <x v="0"/>
    <x v="1"/>
    <x v="5"/>
    <x v="1"/>
    <x v="3"/>
    <n v="4561.1899999999996"/>
  </r>
  <r>
    <x v="8"/>
    <x v="0"/>
    <x v="3"/>
    <x v="3"/>
    <x v="0"/>
    <x v="3"/>
    <n v="44641.2"/>
  </r>
  <r>
    <x v="0"/>
    <x v="1"/>
    <x v="1"/>
    <x v="0"/>
    <x v="1"/>
    <x v="1"/>
    <n v="1674.63"/>
  </r>
  <r>
    <x v="8"/>
    <x v="0"/>
    <x v="1"/>
    <x v="0"/>
    <x v="1"/>
    <x v="3"/>
    <n v="23045.57"/>
  </r>
  <r>
    <x v="0"/>
    <x v="0"/>
    <x v="1"/>
    <x v="1"/>
    <x v="1"/>
    <x v="1"/>
    <n v="3227.12"/>
  </r>
  <r>
    <x v="3"/>
    <x v="0"/>
    <x v="2"/>
    <x v="3"/>
    <x v="0"/>
    <x v="3"/>
    <n v="16776.3"/>
  </r>
  <r>
    <x v="8"/>
    <x v="1"/>
    <x v="0"/>
    <x v="2"/>
    <x v="1"/>
    <x v="0"/>
    <n v="11253.42"/>
  </r>
  <r>
    <x v="2"/>
    <x v="1"/>
    <x v="3"/>
    <x v="1"/>
    <x v="1"/>
    <x v="1"/>
    <n v="3471.41"/>
  </r>
  <r>
    <x v="6"/>
    <x v="1"/>
    <x v="3"/>
    <x v="0"/>
    <x v="1"/>
    <x v="1"/>
    <n v="11363.28"/>
  </r>
  <r>
    <x v="5"/>
    <x v="1"/>
    <x v="0"/>
    <x v="0"/>
    <x v="1"/>
    <x v="0"/>
    <n v="20420.599999999999"/>
  </r>
  <r>
    <x v="8"/>
    <x v="0"/>
    <x v="1"/>
    <x v="0"/>
    <x v="1"/>
    <x v="1"/>
    <n v="10338.93"/>
  </r>
  <r>
    <x v="4"/>
    <x v="0"/>
    <x v="1"/>
    <x v="0"/>
    <x v="1"/>
    <x v="2"/>
    <n v="8988.16"/>
  </r>
  <r>
    <x v="4"/>
    <x v="0"/>
    <x v="0"/>
    <x v="3"/>
    <x v="1"/>
    <x v="2"/>
    <n v="10493.95"/>
  </r>
  <r>
    <x v="2"/>
    <x v="1"/>
    <x v="1"/>
    <x v="1"/>
    <x v="1"/>
    <x v="0"/>
    <n v="2904.09"/>
  </r>
  <r>
    <x v="9"/>
    <x v="1"/>
    <x v="2"/>
    <x v="2"/>
    <x v="1"/>
    <x v="1"/>
    <n v="8605.36"/>
  </r>
  <r>
    <x v="8"/>
    <x v="0"/>
    <x v="1"/>
    <x v="1"/>
    <x v="1"/>
    <x v="3"/>
    <n v="11512.4"/>
  </r>
  <r>
    <x v="5"/>
    <x v="1"/>
    <x v="3"/>
    <x v="2"/>
    <x v="0"/>
    <x v="1"/>
    <n v="41949.24"/>
  </r>
  <r>
    <x v="4"/>
    <x v="0"/>
    <x v="0"/>
    <x v="2"/>
    <x v="0"/>
    <x v="1"/>
    <n v="24180.93"/>
  </r>
  <r>
    <x v="2"/>
    <x v="0"/>
    <x v="0"/>
    <x v="2"/>
    <x v="1"/>
    <x v="2"/>
    <n v="5312.17"/>
  </r>
  <r>
    <x v="0"/>
    <x v="1"/>
    <x v="2"/>
    <x v="0"/>
    <x v="1"/>
    <x v="3"/>
    <n v="2396.1"/>
  </r>
  <r>
    <x v="8"/>
    <x v="1"/>
    <x v="1"/>
    <x v="1"/>
    <x v="1"/>
    <x v="1"/>
    <n v="10807.49"/>
  </r>
  <r>
    <x v="9"/>
    <x v="1"/>
    <x v="0"/>
    <x v="4"/>
    <x v="1"/>
    <x v="3"/>
    <n v="9222.4"/>
  </r>
  <r>
    <x v="0"/>
    <x v="1"/>
    <x v="1"/>
    <x v="3"/>
    <x v="0"/>
    <x v="1"/>
    <n v="36124.57"/>
  </r>
  <r>
    <x v="3"/>
    <x v="1"/>
    <x v="3"/>
    <x v="1"/>
    <x v="0"/>
    <x v="1"/>
    <n v="38282.75"/>
  </r>
  <r>
    <x v="2"/>
    <x v="0"/>
    <x v="2"/>
    <x v="2"/>
    <x v="1"/>
    <x v="2"/>
    <n v="5693.43"/>
  </r>
  <r>
    <x v="0"/>
    <x v="0"/>
    <x v="1"/>
    <x v="0"/>
    <x v="0"/>
    <x v="0"/>
    <n v="34166.269999999997"/>
  </r>
  <r>
    <x v="4"/>
    <x v="1"/>
    <x v="3"/>
    <x v="3"/>
    <x v="1"/>
    <x v="1"/>
    <n v="8347.16"/>
  </r>
  <r>
    <x v="8"/>
    <x v="0"/>
    <x v="3"/>
    <x v="2"/>
    <x v="0"/>
    <x v="2"/>
    <n v="46661.440000000002"/>
  </r>
  <r>
    <x v="2"/>
    <x v="0"/>
    <x v="1"/>
    <x v="1"/>
    <x v="1"/>
    <x v="3"/>
    <n v="18903.490000000002"/>
  </r>
  <r>
    <x v="0"/>
    <x v="0"/>
    <x v="4"/>
    <x v="1"/>
    <x v="0"/>
    <x v="3"/>
    <n v="40904.199999999997"/>
  </r>
  <r>
    <x v="7"/>
    <x v="0"/>
    <x v="0"/>
    <x v="0"/>
    <x v="1"/>
    <x v="2"/>
    <n v="14254.61"/>
  </r>
  <r>
    <x v="8"/>
    <x v="1"/>
    <x v="1"/>
    <x v="0"/>
    <x v="1"/>
    <x v="0"/>
    <n v="10214.64"/>
  </r>
  <r>
    <x v="3"/>
    <x v="0"/>
    <x v="3"/>
    <x v="3"/>
    <x v="1"/>
    <x v="1"/>
    <n v="5836.52"/>
  </r>
  <r>
    <x v="3"/>
    <x v="1"/>
    <x v="1"/>
    <x v="1"/>
    <x v="1"/>
    <x v="0"/>
    <n v="14358.36"/>
  </r>
  <r>
    <x v="0"/>
    <x v="0"/>
    <x v="2"/>
    <x v="0"/>
    <x v="1"/>
    <x v="0"/>
    <n v="1728.9"/>
  </r>
  <r>
    <x v="5"/>
    <x v="0"/>
    <x v="2"/>
    <x v="4"/>
    <x v="1"/>
    <x v="1"/>
    <n v="8582.2999999999993"/>
  </r>
  <r>
    <x v="2"/>
    <x v="1"/>
    <x v="4"/>
    <x v="3"/>
    <x v="1"/>
    <x v="0"/>
    <n v="3693.43"/>
  </r>
  <r>
    <x v="6"/>
    <x v="1"/>
    <x v="4"/>
    <x v="0"/>
    <x v="1"/>
    <x v="3"/>
    <n v="20709.02"/>
  </r>
  <r>
    <x v="8"/>
    <x v="0"/>
    <x v="5"/>
    <x v="0"/>
    <x v="1"/>
    <x v="2"/>
    <n v="9991.0400000000009"/>
  </r>
  <r>
    <x v="2"/>
    <x v="1"/>
    <x v="1"/>
    <x v="0"/>
    <x v="1"/>
    <x v="2"/>
    <n v="19673.34"/>
  </r>
  <r>
    <x v="4"/>
    <x v="0"/>
    <x v="0"/>
    <x v="2"/>
    <x v="1"/>
    <x v="2"/>
    <n v="11085.59"/>
  </r>
  <r>
    <x v="9"/>
    <x v="0"/>
    <x v="0"/>
    <x v="1"/>
    <x v="1"/>
    <x v="0"/>
    <n v="7623.52"/>
  </r>
  <r>
    <x v="2"/>
    <x v="0"/>
    <x v="2"/>
    <x v="0"/>
    <x v="1"/>
    <x v="2"/>
    <n v="3176.29"/>
  </r>
  <r>
    <x v="3"/>
    <x v="1"/>
    <x v="1"/>
    <x v="0"/>
    <x v="1"/>
    <x v="1"/>
    <n v="3704.35"/>
  </r>
  <r>
    <x v="0"/>
    <x v="0"/>
    <x v="1"/>
    <x v="0"/>
    <x v="0"/>
    <x v="2"/>
    <n v="36898.730000000003"/>
  </r>
  <r>
    <x v="4"/>
    <x v="1"/>
    <x v="3"/>
    <x v="1"/>
    <x v="1"/>
    <x v="1"/>
    <n v="9048.0300000000007"/>
  </r>
  <r>
    <x v="9"/>
    <x v="0"/>
    <x v="1"/>
    <x v="2"/>
    <x v="1"/>
    <x v="0"/>
    <n v="7954.52"/>
  </r>
  <r>
    <x v="8"/>
    <x v="0"/>
    <x v="2"/>
    <x v="0"/>
    <x v="1"/>
    <x v="1"/>
    <n v="27117.99"/>
  </r>
  <r>
    <x v="5"/>
    <x v="1"/>
    <x v="1"/>
    <x v="3"/>
    <x v="1"/>
    <x v="1"/>
    <n v="6338.08"/>
  </r>
  <r>
    <x v="4"/>
    <x v="1"/>
    <x v="1"/>
    <x v="3"/>
    <x v="1"/>
    <x v="0"/>
    <n v="9630.4"/>
  </r>
  <r>
    <x v="8"/>
    <x v="1"/>
    <x v="1"/>
    <x v="2"/>
    <x v="1"/>
    <x v="2"/>
    <n v="11289.11"/>
  </r>
  <r>
    <x v="6"/>
    <x v="1"/>
    <x v="1"/>
    <x v="0"/>
    <x v="0"/>
    <x v="0"/>
    <n v="52590.83"/>
  </r>
  <r>
    <x v="0"/>
    <x v="0"/>
    <x v="1"/>
    <x v="0"/>
    <x v="1"/>
    <x v="2"/>
    <n v="2261.5700000000002"/>
  </r>
  <r>
    <x v="8"/>
    <x v="1"/>
    <x v="2"/>
    <x v="1"/>
    <x v="1"/>
    <x v="0"/>
    <n v="10791.96"/>
  </r>
  <r>
    <x v="9"/>
    <x v="1"/>
    <x v="1"/>
    <x v="0"/>
    <x v="1"/>
    <x v="0"/>
    <n v="5979.73"/>
  </r>
  <r>
    <x v="1"/>
    <x v="0"/>
    <x v="1"/>
    <x v="0"/>
    <x v="1"/>
    <x v="3"/>
    <n v="2203.7399999999998"/>
  </r>
  <r>
    <x v="6"/>
    <x v="0"/>
    <x v="3"/>
    <x v="0"/>
    <x v="1"/>
    <x v="2"/>
    <n v="12235.84"/>
  </r>
  <r>
    <x v="9"/>
    <x v="0"/>
    <x v="1"/>
    <x v="2"/>
    <x v="0"/>
    <x v="1"/>
    <n v="40941.29"/>
  </r>
  <r>
    <x v="3"/>
    <x v="0"/>
    <x v="3"/>
    <x v="1"/>
    <x v="1"/>
    <x v="2"/>
    <n v="5630.46"/>
  </r>
  <r>
    <x v="4"/>
    <x v="0"/>
    <x v="0"/>
    <x v="5"/>
    <x v="1"/>
    <x v="2"/>
    <n v="11015.17"/>
  </r>
  <r>
    <x v="5"/>
    <x v="0"/>
    <x v="2"/>
    <x v="2"/>
    <x v="1"/>
    <x v="3"/>
    <n v="7228.22"/>
  </r>
  <r>
    <x v="0"/>
    <x v="1"/>
    <x v="4"/>
    <x v="0"/>
    <x v="0"/>
    <x v="1"/>
    <n v="39722.75"/>
  </r>
  <r>
    <x v="0"/>
    <x v="0"/>
    <x v="2"/>
    <x v="3"/>
    <x v="1"/>
    <x v="2"/>
    <n v="14426.07"/>
  </r>
  <r>
    <x v="0"/>
    <x v="0"/>
    <x v="1"/>
    <x v="0"/>
    <x v="1"/>
    <x v="3"/>
    <n v="2459.7199999999998"/>
  </r>
  <r>
    <x v="3"/>
    <x v="0"/>
    <x v="4"/>
    <x v="0"/>
    <x v="1"/>
    <x v="0"/>
    <n v="3989.84"/>
  </r>
  <r>
    <x v="9"/>
    <x v="0"/>
    <x v="1"/>
    <x v="1"/>
    <x v="1"/>
    <x v="2"/>
    <n v="7727.25"/>
  </r>
  <r>
    <x v="3"/>
    <x v="1"/>
    <x v="4"/>
    <x v="3"/>
    <x v="1"/>
    <x v="1"/>
    <n v="5124.1899999999996"/>
  </r>
  <r>
    <x v="2"/>
    <x v="1"/>
    <x v="3"/>
    <x v="1"/>
    <x v="1"/>
    <x v="1"/>
    <n v="18963.169999999998"/>
  </r>
  <r>
    <x v="1"/>
    <x v="0"/>
    <x v="0"/>
    <x v="0"/>
    <x v="1"/>
    <x v="3"/>
    <n v="2200.83"/>
  </r>
  <r>
    <x v="9"/>
    <x v="0"/>
    <x v="0"/>
    <x v="1"/>
    <x v="1"/>
    <x v="2"/>
    <n v="7153.55"/>
  </r>
  <r>
    <x v="3"/>
    <x v="0"/>
    <x v="0"/>
    <x v="0"/>
    <x v="1"/>
    <x v="3"/>
    <n v="5227.99"/>
  </r>
  <r>
    <x v="6"/>
    <x v="1"/>
    <x v="4"/>
    <x v="0"/>
    <x v="1"/>
    <x v="1"/>
    <n v="10982.5"/>
  </r>
  <r>
    <x v="2"/>
    <x v="0"/>
    <x v="2"/>
    <x v="3"/>
    <x v="1"/>
    <x v="0"/>
    <n v="4529.4799999999996"/>
  </r>
  <r>
    <x v="3"/>
    <x v="1"/>
    <x v="3"/>
    <x v="3"/>
    <x v="1"/>
    <x v="0"/>
    <n v="4670.6400000000003"/>
  </r>
  <r>
    <x v="5"/>
    <x v="0"/>
    <x v="1"/>
    <x v="1"/>
    <x v="1"/>
    <x v="2"/>
    <n v="6112.35"/>
  </r>
  <r>
    <x v="1"/>
    <x v="1"/>
    <x v="0"/>
    <x v="1"/>
    <x v="0"/>
    <x v="3"/>
    <n v="17178.68"/>
  </r>
  <r>
    <x v="9"/>
    <x v="0"/>
    <x v="0"/>
    <x v="3"/>
    <x v="0"/>
    <x v="0"/>
    <n v="22478.6"/>
  </r>
  <r>
    <x v="6"/>
    <x v="0"/>
    <x v="4"/>
    <x v="0"/>
    <x v="1"/>
    <x v="1"/>
    <n v="11093.62"/>
  </r>
  <r>
    <x v="5"/>
    <x v="1"/>
    <x v="0"/>
    <x v="3"/>
    <x v="1"/>
    <x v="2"/>
    <n v="6457.84"/>
  </r>
  <r>
    <x v="2"/>
    <x v="1"/>
    <x v="1"/>
    <x v="3"/>
    <x v="1"/>
    <x v="2"/>
    <n v="4433.92"/>
  </r>
  <r>
    <x v="0"/>
    <x v="0"/>
    <x v="0"/>
    <x v="0"/>
    <x v="1"/>
    <x v="0"/>
    <n v="2154.36"/>
  </r>
  <r>
    <x v="8"/>
    <x v="0"/>
    <x v="2"/>
    <x v="1"/>
    <x v="0"/>
    <x v="2"/>
    <n v="23887.66"/>
  </r>
  <r>
    <x v="5"/>
    <x v="0"/>
    <x v="0"/>
    <x v="1"/>
    <x v="1"/>
    <x v="0"/>
    <n v="6496.89"/>
  </r>
  <r>
    <x v="0"/>
    <x v="0"/>
    <x v="1"/>
    <x v="0"/>
    <x v="1"/>
    <x v="3"/>
    <n v="2899.49"/>
  </r>
  <r>
    <x v="3"/>
    <x v="1"/>
    <x v="0"/>
    <x v="0"/>
    <x v="0"/>
    <x v="1"/>
    <n v="19350.37"/>
  </r>
  <r>
    <x v="9"/>
    <x v="0"/>
    <x v="4"/>
    <x v="1"/>
    <x v="1"/>
    <x v="3"/>
    <n v="7650.77"/>
  </r>
  <r>
    <x v="0"/>
    <x v="0"/>
    <x v="1"/>
    <x v="0"/>
    <x v="1"/>
    <x v="2"/>
    <n v="2850.68"/>
  </r>
  <r>
    <x v="0"/>
    <x v="0"/>
    <x v="1"/>
    <x v="0"/>
    <x v="1"/>
    <x v="0"/>
    <n v="2632.99"/>
  </r>
  <r>
    <x v="4"/>
    <x v="0"/>
    <x v="0"/>
    <x v="1"/>
    <x v="1"/>
    <x v="3"/>
    <n v="9447.3799999999992"/>
  </r>
  <r>
    <x v="0"/>
    <x v="0"/>
    <x v="0"/>
    <x v="1"/>
    <x v="0"/>
    <x v="1"/>
    <n v="18328.240000000002"/>
  </r>
  <r>
    <x v="9"/>
    <x v="1"/>
    <x v="2"/>
    <x v="3"/>
    <x v="1"/>
    <x v="3"/>
    <n v="8603.82"/>
  </r>
  <r>
    <x v="0"/>
    <x v="1"/>
    <x v="3"/>
    <x v="2"/>
    <x v="0"/>
    <x v="2"/>
    <n v="37465.339999999997"/>
  </r>
  <r>
    <x v="7"/>
    <x v="0"/>
    <x v="1"/>
    <x v="0"/>
    <x v="1"/>
    <x v="2"/>
    <n v="13844.8"/>
  </r>
  <r>
    <x v="9"/>
    <x v="0"/>
    <x v="0"/>
    <x v="1"/>
    <x v="0"/>
    <x v="3"/>
    <n v="21771.34"/>
  </r>
  <r>
    <x v="0"/>
    <x v="0"/>
    <x v="0"/>
    <x v="0"/>
    <x v="1"/>
    <x v="0"/>
    <n v="13126.68"/>
  </r>
  <r>
    <x v="3"/>
    <x v="0"/>
    <x v="1"/>
    <x v="3"/>
    <x v="1"/>
    <x v="2"/>
    <n v="5327.4"/>
  </r>
  <r>
    <x v="9"/>
    <x v="0"/>
    <x v="2"/>
    <x v="1"/>
    <x v="1"/>
    <x v="3"/>
    <n v="13725.47"/>
  </r>
  <r>
    <x v="6"/>
    <x v="0"/>
    <x v="1"/>
    <x v="1"/>
    <x v="1"/>
    <x v="3"/>
    <n v="13019.16"/>
  </r>
  <r>
    <x v="4"/>
    <x v="0"/>
    <x v="3"/>
    <x v="0"/>
    <x v="1"/>
    <x v="2"/>
    <n v="8671.19"/>
  </r>
  <r>
    <x v="3"/>
    <x v="0"/>
    <x v="2"/>
    <x v="0"/>
    <x v="1"/>
    <x v="2"/>
    <n v="4134.08"/>
  </r>
  <r>
    <x v="0"/>
    <x v="0"/>
    <x v="0"/>
    <x v="2"/>
    <x v="1"/>
    <x v="2"/>
    <n v="18838.7"/>
  </r>
  <r>
    <x v="0"/>
    <x v="0"/>
    <x v="1"/>
    <x v="0"/>
    <x v="0"/>
    <x v="2"/>
    <n v="33307.550000000003"/>
  </r>
  <r>
    <x v="9"/>
    <x v="1"/>
    <x v="1"/>
    <x v="0"/>
    <x v="1"/>
    <x v="1"/>
    <n v="5699.84"/>
  </r>
  <r>
    <x v="5"/>
    <x v="1"/>
    <x v="0"/>
    <x v="1"/>
    <x v="1"/>
    <x v="2"/>
    <n v="6393.6"/>
  </r>
  <r>
    <x v="3"/>
    <x v="0"/>
    <x v="0"/>
    <x v="3"/>
    <x v="1"/>
    <x v="0"/>
    <n v="4934.7"/>
  </r>
  <r>
    <x v="5"/>
    <x v="1"/>
    <x v="2"/>
    <x v="3"/>
    <x v="1"/>
    <x v="2"/>
    <n v="6198.75"/>
  </r>
  <r>
    <x v="4"/>
    <x v="1"/>
    <x v="4"/>
    <x v="3"/>
    <x v="1"/>
    <x v="2"/>
    <n v="8733.23"/>
  </r>
  <r>
    <x v="0"/>
    <x v="1"/>
    <x v="1"/>
    <x v="0"/>
    <x v="1"/>
    <x v="2"/>
    <n v="2055.3200000000002"/>
  </r>
  <r>
    <x v="8"/>
    <x v="1"/>
    <x v="1"/>
    <x v="1"/>
    <x v="1"/>
    <x v="3"/>
    <n v="9964.06"/>
  </r>
  <r>
    <x v="1"/>
    <x v="0"/>
    <x v="0"/>
    <x v="2"/>
    <x v="0"/>
    <x v="1"/>
    <n v="18223.45"/>
  </r>
  <r>
    <x v="3"/>
    <x v="1"/>
    <x v="5"/>
    <x v="1"/>
    <x v="1"/>
    <x v="2"/>
    <n v="5116.5"/>
  </r>
  <r>
    <x v="6"/>
    <x v="0"/>
    <x v="1"/>
    <x v="3"/>
    <x v="1"/>
    <x v="0"/>
    <n v="36910.61"/>
  </r>
  <r>
    <x v="5"/>
    <x v="1"/>
    <x v="1"/>
    <x v="3"/>
    <x v="0"/>
    <x v="0"/>
    <n v="38415.47"/>
  </r>
  <r>
    <x v="5"/>
    <x v="0"/>
    <x v="0"/>
    <x v="1"/>
    <x v="0"/>
    <x v="3"/>
    <n v="20296.86"/>
  </r>
  <r>
    <x v="6"/>
    <x v="1"/>
    <x v="3"/>
    <x v="1"/>
    <x v="1"/>
    <x v="0"/>
    <n v="12347.17"/>
  </r>
  <r>
    <x v="5"/>
    <x v="1"/>
    <x v="1"/>
    <x v="1"/>
    <x v="1"/>
    <x v="2"/>
    <n v="5373.36"/>
  </r>
  <r>
    <x v="5"/>
    <x v="1"/>
    <x v="1"/>
    <x v="3"/>
    <x v="1"/>
    <x v="1"/>
    <n v="23563.02"/>
  </r>
  <r>
    <x v="1"/>
    <x v="1"/>
    <x v="2"/>
    <x v="0"/>
    <x v="1"/>
    <x v="3"/>
    <n v="1702.46"/>
  </r>
  <r>
    <x v="8"/>
    <x v="0"/>
    <x v="1"/>
    <x v="3"/>
    <x v="1"/>
    <x v="0"/>
    <n v="10806.84"/>
  </r>
  <r>
    <x v="2"/>
    <x v="0"/>
    <x v="1"/>
    <x v="1"/>
    <x v="1"/>
    <x v="2"/>
    <n v="3956.07"/>
  </r>
  <r>
    <x v="1"/>
    <x v="1"/>
    <x v="3"/>
    <x v="0"/>
    <x v="1"/>
    <x v="3"/>
    <n v="12890.06"/>
  </r>
  <r>
    <x v="5"/>
    <x v="1"/>
    <x v="0"/>
    <x v="0"/>
    <x v="1"/>
    <x v="1"/>
    <n v="5415.66"/>
  </r>
  <r>
    <x v="2"/>
    <x v="1"/>
    <x v="3"/>
    <x v="3"/>
    <x v="1"/>
    <x v="1"/>
    <n v="4058.12"/>
  </r>
  <r>
    <x v="4"/>
    <x v="0"/>
    <x v="1"/>
    <x v="1"/>
    <x v="0"/>
    <x v="0"/>
    <n v="41661.599999999999"/>
  </r>
  <r>
    <x v="5"/>
    <x v="0"/>
    <x v="1"/>
    <x v="2"/>
    <x v="1"/>
    <x v="2"/>
    <n v="7537.16"/>
  </r>
  <r>
    <x v="2"/>
    <x v="0"/>
    <x v="2"/>
    <x v="1"/>
    <x v="1"/>
    <x v="3"/>
    <n v="4718.2"/>
  </r>
  <r>
    <x v="5"/>
    <x v="1"/>
    <x v="0"/>
    <x v="3"/>
    <x v="1"/>
    <x v="1"/>
    <n v="6593.51"/>
  </r>
  <r>
    <x v="4"/>
    <x v="1"/>
    <x v="0"/>
    <x v="0"/>
    <x v="1"/>
    <x v="1"/>
    <n v="8442.67"/>
  </r>
  <r>
    <x v="0"/>
    <x v="0"/>
    <x v="2"/>
    <x v="0"/>
    <x v="0"/>
    <x v="1"/>
    <n v="26125.67"/>
  </r>
  <r>
    <x v="9"/>
    <x v="1"/>
    <x v="2"/>
    <x v="1"/>
    <x v="1"/>
    <x v="3"/>
    <n v="6858.48"/>
  </r>
  <r>
    <x v="3"/>
    <x v="0"/>
    <x v="3"/>
    <x v="1"/>
    <x v="1"/>
    <x v="1"/>
    <n v="4795.66"/>
  </r>
  <r>
    <x v="5"/>
    <x v="1"/>
    <x v="5"/>
    <x v="3"/>
    <x v="1"/>
    <x v="3"/>
    <n v="6640.54"/>
  </r>
  <r>
    <x v="9"/>
    <x v="1"/>
    <x v="3"/>
    <x v="3"/>
    <x v="1"/>
    <x v="1"/>
    <n v="7162.01"/>
  </r>
  <r>
    <x v="6"/>
    <x v="1"/>
    <x v="1"/>
    <x v="0"/>
    <x v="1"/>
    <x v="1"/>
    <n v="10594.23"/>
  </r>
  <r>
    <x v="6"/>
    <x v="1"/>
    <x v="1"/>
    <x v="0"/>
    <x v="1"/>
    <x v="3"/>
    <n v="11938.26"/>
  </r>
  <r>
    <x v="8"/>
    <x v="1"/>
    <x v="1"/>
    <x v="2"/>
    <x v="0"/>
    <x v="2"/>
    <n v="60021.4"/>
  </r>
  <r>
    <x v="0"/>
    <x v="0"/>
    <x v="2"/>
    <x v="0"/>
    <x v="0"/>
    <x v="0"/>
    <n v="20167.34"/>
  </r>
  <r>
    <x v="8"/>
    <x v="0"/>
    <x v="2"/>
    <x v="2"/>
    <x v="1"/>
    <x v="2"/>
    <n v="12479.71"/>
  </r>
  <r>
    <x v="6"/>
    <x v="1"/>
    <x v="2"/>
    <x v="0"/>
    <x v="1"/>
    <x v="0"/>
    <n v="11345.52"/>
  </r>
  <r>
    <x v="9"/>
    <x v="0"/>
    <x v="0"/>
    <x v="3"/>
    <x v="1"/>
    <x v="1"/>
    <n v="8515.76"/>
  </r>
  <r>
    <x v="2"/>
    <x v="1"/>
    <x v="1"/>
    <x v="0"/>
    <x v="1"/>
    <x v="2"/>
    <n v="2699.57"/>
  </r>
  <r>
    <x v="7"/>
    <x v="0"/>
    <x v="2"/>
    <x v="0"/>
    <x v="1"/>
    <x v="3"/>
    <n v="14449.85"/>
  </r>
  <r>
    <x v="6"/>
    <x v="0"/>
    <x v="0"/>
    <x v="0"/>
    <x v="1"/>
    <x v="2"/>
    <n v="12224.35"/>
  </r>
  <r>
    <x v="5"/>
    <x v="1"/>
    <x v="2"/>
    <x v="2"/>
    <x v="1"/>
    <x v="3"/>
    <n v="6985.51"/>
  </r>
  <r>
    <x v="0"/>
    <x v="0"/>
    <x v="4"/>
    <x v="1"/>
    <x v="1"/>
    <x v="1"/>
    <n v="3238.44"/>
  </r>
  <r>
    <x v="8"/>
    <x v="1"/>
    <x v="4"/>
    <x v="3"/>
    <x v="0"/>
    <x v="1"/>
    <n v="47269.85"/>
  </r>
  <r>
    <x v="7"/>
    <x v="1"/>
    <x v="3"/>
    <x v="3"/>
    <x v="0"/>
    <x v="1"/>
    <n v="49577.66"/>
  </r>
  <r>
    <x v="0"/>
    <x v="0"/>
    <x v="2"/>
    <x v="2"/>
    <x v="1"/>
    <x v="2"/>
    <n v="4296.2700000000004"/>
  </r>
  <r>
    <x v="2"/>
    <x v="0"/>
    <x v="1"/>
    <x v="0"/>
    <x v="1"/>
    <x v="1"/>
    <n v="3171.61"/>
  </r>
  <r>
    <x v="1"/>
    <x v="1"/>
    <x v="1"/>
    <x v="0"/>
    <x v="1"/>
    <x v="1"/>
    <n v="1135.94"/>
  </r>
  <r>
    <x v="2"/>
    <x v="1"/>
    <x v="2"/>
    <x v="4"/>
    <x v="1"/>
    <x v="0"/>
    <n v="5615.37"/>
  </r>
  <r>
    <x v="9"/>
    <x v="0"/>
    <x v="0"/>
    <x v="2"/>
    <x v="1"/>
    <x v="0"/>
    <n v="9101.7999999999993"/>
  </r>
  <r>
    <x v="3"/>
    <x v="1"/>
    <x v="0"/>
    <x v="5"/>
    <x v="1"/>
    <x v="0"/>
    <n v="6059.17"/>
  </r>
  <r>
    <x v="1"/>
    <x v="0"/>
    <x v="3"/>
    <x v="0"/>
    <x v="1"/>
    <x v="1"/>
    <n v="1633.96"/>
  </r>
  <r>
    <x v="3"/>
    <x v="1"/>
    <x v="1"/>
    <x v="1"/>
    <x v="0"/>
    <x v="3"/>
    <n v="37607.53"/>
  </r>
  <r>
    <x v="0"/>
    <x v="1"/>
    <x v="0"/>
    <x v="0"/>
    <x v="0"/>
    <x v="3"/>
    <n v="18648.419999999998"/>
  </r>
  <r>
    <x v="0"/>
    <x v="1"/>
    <x v="2"/>
    <x v="0"/>
    <x v="1"/>
    <x v="0"/>
    <n v="1241.56"/>
  </r>
  <r>
    <x v="0"/>
    <x v="1"/>
    <x v="0"/>
    <x v="0"/>
    <x v="0"/>
    <x v="0"/>
    <n v="16232.85"/>
  </r>
  <r>
    <x v="5"/>
    <x v="0"/>
    <x v="0"/>
    <x v="5"/>
    <x v="1"/>
    <x v="0"/>
    <n v="15828.82"/>
  </r>
  <r>
    <x v="3"/>
    <x v="0"/>
    <x v="0"/>
    <x v="0"/>
    <x v="1"/>
    <x v="1"/>
    <n v="4415.16"/>
  </r>
  <r>
    <x v="9"/>
    <x v="0"/>
    <x v="3"/>
    <x v="0"/>
    <x v="1"/>
    <x v="0"/>
    <n v="6474.01"/>
  </r>
  <r>
    <x v="8"/>
    <x v="0"/>
    <x v="3"/>
    <x v="2"/>
    <x v="1"/>
    <x v="2"/>
    <n v="11436.74"/>
  </r>
  <r>
    <x v="8"/>
    <x v="0"/>
    <x v="0"/>
    <x v="1"/>
    <x v="1"/>
    <x v="2"/>
    <n v="11305.93"/>
  </r>
  <r>
    <x v="8"/>
    <x v="1"/>
    <x v="3"/>
    <x v="2"/>
    <x v="1"/>
    <x v="2"/>
    <n v="30063.58"/>
  </r>
  <r>
    <x v="8"/>
    <x v="0"/>
    <x v="2"/>
    <x v="0"/>
    <x v="1"/>
    <x v="3"/>
    <n v="10197.77"/>
  </r>
  <r>
    <x v="3"/>
    <x v="0"/>
    <x v="2"/>
    <x v="0"/>
    <x v="1"/>
    <x v="3"/>
    <n v="4544.2299999999996"/>
  </r>
  <r>
    <x v="2"/>
    <x v="1"/>
    <x v="3"/>
    <x v="1"/>
    <x v="1"/>
    <x v="0"/>
    <n v="3277.16"/>
  </r>
  <r>
    <x v="9"/>
    <x v="0"/>
    <x v="0"/>
    <x v="1"/>
    <x v="1"/>
    <x v="1"/>
    <n v="6770.19"/>
  </r>
  <r>
    <x v="9"/>
    <x v="0"/>
    <x v="1"/>
    <x v="1"/>
    <x v="1"/>
    <x v="0"/>
    <n v="7337.75"/>
  </r>
  <r>
    <x v="4"/>
    <x v="0"/>
    <x v="1"/>
    <x v="3"/>
    <x v="1"/>
    <x v="3"/>
    <n v="10370.91"/>
  </r>
  <r>
    <x v="7"/>
    <x v="1"/>
    <x v="2"/>
    <x v="0"/>
    <x v="0"/>
    <x v="1"/>
    <n v="26926.51"/>
  </r>
  <r>
    <x v="8"/>
    <x v="0"/>
    <x v="1"/>
    <x v="0"/>
    <x v="1"/>
    <x v="0"/>
    <n v="10704.47"/>
  </r>
  <r>
    <x v="0"/>
    <x v="1"/>
    <x v="1"/>
    <x v="0"/>
    <x v="0"/>
    <x v="3"/>
    <n v="34254.050000000003"/>
  </r>
  <r>
    <x v="0"/>
    <x v="0"/>
    <x v="1"/>
    <x v="0"/>
    <x v="1"/>
    <x v="0"/>
    <n v="1880.49"/>
  </r>
  <r>
    <x v="9"/>
    <x v="1"/>
    <x v="0"/>
    <x v="2"/>
    <x v="1"/>
    <x v="0"/>
    <n v="8615.2999999999993"/>
  </r>
  <r>
    <x v="2"/>
    <x v="1"/>
    <x v="1"/>
    <x v="1"/>
    <x v="1"/>
    <x v="2"/>
    <n v="3292.53"/>
  </r>
  <r>
    <x v="0"/>
    <x v="0"/>
    <x v="1"/>
    <x v="0"/>
    <x v="1"/>
    <x v="2"/>
    <n v="3021.81"/>
  </r>
  <r>
    <x v="9"/>
    <x v="1"/>
    <x v="0"/>
    <x v="4"/>
    <x v="1"/>
    <x v="1"/>
    <n v="14478.33"/>
  </r>
  <r>
    <x v="3"/>
    <x v="1"/>
    <x v="0"/>
    <x v="1"/>
    <x v="1"/>
    <x v="1"/>
    <n v="4747.05"/>
  </r>
  <r>
    <x v="2"/>
    <x v="1"/>
    <x v="0"/>
    <x v="0"/>
    <x v="0"/>
    <x v="1"/>
    <n v="17043.34"/>
  </r>
  <r>
    <x v="6"/>
    <x v="1"/>
    <x v="2"/>
    <x v="0"/>
    <x v="1"/>
    <x v="0"/>
    <n v="10959.33"/>
  </r>
  <r>
    <x v="0"/>
    <x v="0"/>
    <x v="1"/>
    <x v="0"/>
    <x v="1"/>
    <x v="3"/>
    <n v="2741.95"/>
  </r>
  <r>
    <x v="3"/>
    <x v="0"/>
    <x v="0"/>
    <x v="0"/>
    <x v="1"/>
    <x v="2"/>
    <n v="4357.04"/>
  </r>
  <r>
    <x v="5"/>
    <x v="1"/>
    <x v="1"/>
    <x v="1"/>
    <x v="0"/>
    <x v="3"/>
    <n v="22462.04"/>
  </r>
  <r>
    <x v="0"/>
    <x v="0"/>
    <x v="0"/>
    <x v="3"/>
    <x v="1"/>
    <x v="2"/>
    <n v="4189.1099999999997"/>
  </r>
  <r>
    <x v="4"/>
    <x v="0"/>
    <x v="1"/>
    <x v="0"/>
    <x v="1"/>
    <x v="1"/>
    <n v="8283.68"/>
  </r>
  <r>
    <x v="4"/>
    <x v="0"/>
    <x v="0"/>
    <x v="3"/>
    <x v="0"/>
    <x v="2"/>
    <n v="24535.7"/>
  </r>
  <r>
    <x v="1"/>
    <x v="0"/>
    <x v="2"/>
    <x v="0"/>
    <x v="0"/>
    <x v="3"/>
    <n v="14283.46"/>
  </r>
  <r>
    <x v="1"/>
    <x v="1"/>
    <x v="1"/>
    <x v="1"/>
    <x v="1"/>
    <x v="1"/>
    <n v="1720.35"/>
  </r>
  <r>
    <x v="7"/>
    <x v="1"/>
    <x v="3"/>
    <x v="1"/>
    <x v="0"/>
    <x v="0"/>
    <n v="47403.88"/>
  </r>
  <r>
    <x v="4"/>
    <x v="0"/>
    <x v="2"/>
    <x v="0"/>
    <x v="1"/>
    <x v="3"/>
    <n v="8534.67"/>
  </r>
  <r>
    <x v="2"/>
    <x v="0"/>
    <x v="5"/>
    <x v="0"/>
    <x v="1"/>
    <x v="3"/>
    <n v="3732.63"/>
  </r>
  <r>
    <x v="5"/>
    <x v="0"/>
    <x v="0"/>
    <x v="1"/>
    <x v="1"/>
    <x v="0"/>
    <n v="5472.45"/>
  </r>
  <r>
    <x v="0"/>
    <x v="1"/>
    <x v="3"/>
    <x v="3"/>
    <x v="0"/>
    <x v="0"/>
    <n v="38344.57"/>
  </r>
  <r>
    <x v="9"/>
    <x v="1"/>
    <x v="1"/>
    <x v="1"/>
    <x v="1"/>
    <x v="1"/>
    <n v="7147.47"/>
  </r>
  <r>
    <x v="5"/>
    <x v="0"/>
    <x v="2"/>
    <x v="3"/>
    <x v="1"/>
    <x v="3"/>
    <n v="7133.9"/>
  </r>
  <r>
    <x v="0"/>
    <x v="1"/>
    <x v="3"/>
    <x v="0"/>
    <x v="0"/>
    <x v="0"/>
    <n v="34828.65"/>
  </r>
  <r>
    <x v="0"/>
    <x v="1"/>
    <x v="2"/>
    <x v="0"/>
    <x v="1"/>
    <x v="1"/>
    <n v="1515.34"/>
  </r>
  <r>
    <x v="4"/>
    <x v="1"/>
    <x v="0"/>
    <x v="2"/>
    <x v="1"/>
    <x v="2"/>
    <n v="9301.89"/>
  </r>
  <r>
    <x v="6"/>
    <x v="1"/>
    <x v="0"/>
    <x v="0"/>
    <x v="1"/>
    <x v="3"/>
    <n v="11931.13"/>
  </r>
  <r>
    <x v="0"/>
    <x v="1"/>
    <x v="2"/>
    <x v="1"/>
    <x v="1"/>
    <x v="0"/>
    <n v="1964.78"/>
  </r>
  <r>
    <x v="1"/>
    <x v="1"/>
    <x v="0"/>
    <x v="0"/>
    <x v="1"/>
    <x v="3"/>
    <n v="1708.93"/>
  </r>
  <r>
    <x v="2"/>
    <x v="0"/>
    <x v="0"/>
    <x v="3"/>
    <x v="1"/>
    <x v="1"/>
    <n v="4340.4399999999996"/>
  </r>
  <r>
    <x v="3"/>
    <x v="1"/>
    <x v="0"/>
    <x v="3"/>
    <x v="1"/>
    <x v="2"/>
    <n v="5261.47"/>
  </r>
  <r>
    <x v="0"/>
    <x v="0"/>
    <x v="0"/>
    <x v="1"/>
    <x v="1"/>
    <x v="2"/>
    <n v="2710.83"/>
  </r>
  <r>
    <x v="9"/>
    <x v="1"/>
    <x v="1"/>
    <x v="0"/>
    <x v="0"/>
    <x v="1"/>
    <n v="62592.87"/>
  </r>
  <r>
    <x v="7"/>
    <x v="1"/>
    <x v="1"/>
    <x v="2"/>
    <x v="0"/>
    <x v="2"/>
    <n v="46718.16"/>
  </r>
  <r>
    <x v="0"/>
    <x v="0"/>
    <x v="2"/>
    <x v="1"/>
    <x v="1"/>
    <x v="0"/>
    <n v="3208.79"/>
  </r>
  <r>
    <x v="9"/>
    <x v="1"/>
    <x v="0"/>
    <x v="0"/>
    <x v="0"/>
    <x v="0"/>
    <n v="37829.72"/>
  </r>
  <r>
    <x v="9"/>
    <x v="1"/>
    <x v="2"/>
    <x v="3"/>
    <x v="0"/>
    <x v="3"/>
    <n v="21259.38"/>
  </r>
  <r>
    <x v="0"/>
    <x v="0"/>
    <x v="0"/>
    <x v="0"/>
    <x v="1"/>
    <x v="1"/>
    <n v="2464.62"/>
  </r>
  <r>
    <x v="2"/>
    <x v="0"/>
    <x v="2"/>
    <x v="0"/>
    <x v="0"/>
    <x v="3"/>
    <n v="16115.3"/>
  </r>
  <r>
    <x v="3"/>
    <x v="1"/>
    <x v="0"/>
    <x v="5"/>
    <x v="0"/>
    <x v="2"/>
    <n v="21472.48"/>
  </r>
  <r>
    <x v="0"/>
    <x v="0"/>
    <x v="1"/>
    <x v="0"/>
    <x v="0"/>
    <x v="0"/>
    <n v="33900.65"/>
  </r>
  <r>
    <x v="9"/>
    <x v="1"/>
    <x v="1"/>
    <x v="3"/>
    <x v="1"/>
    <x v="0"/>
    <n v="6875.96"/>
  </r>
  <r>
    <x v="9"/>
    <x v="1"/>
    <x v="0"/>
    <x v="1"/>
    <x v="1"/>
    <x v="2"/>
    <n v="6940.91"/>
  </r>
  <r>
    <x v="3"/>
    <x v="0"/>
    <x v="0"/>
    <x v="0"/>
    <x v="1"/>
    <x v="2"/>
    <n v="4571.41"/>
  </r>
  <r>
    <x v="3"/>
    <x v="1"/>
    <x v="4"/>
    <x v="1"/>
    <x v="1"/>
    <x v="0"/>
    <n v="4536.26"/>
  </r>
  <r>
    <x v="0"/>
    <x v="0"/>
    <x v="1"/>
    <x v="3"/>
    <x v="0"/>
    <x v="0"/>
    <n v="36397.58"/>
  </r>
  <r>
    <x v="2"/>
    <x v="0"/>
    <x v="2"/>
    <x v="2"/>
    <x v="0"/>
    <x v="2"/>
    <n v="18765.88"/>
  </r>
  <r>
    <x v="1"/>
    <x v="1"/>
    <x v="0"/>
    <x v="1"/>
    <x v="1"/>
    <x v="3"/>
    <n v="11272.33"/>
  </r>
  <r>
    <x v="0"/>
    <x v="0"/>
    <x v="2"/>
    <x v="0"/>
    <x v="1"/>
    <x v="0"/>
    <n v="1731.68"/>
  </r>
  <r>
    <x v="1"/>
    <x v="1"/>
    <x v="4"/>
    <x v="0"/>
    <x v="1"/>
    <x v="1"/>
    <n v="1163.46"/>
  </r>
  <r>
    <x v="3"/>
    <x v="1"/>
    <x v="3"/>
    <x v="5"/>
    <x v="1"/>
    <x v="3"/>
    <n v="19496.72"/>
  </r>
  <r>
    <x v="5"/>
    <x v="0"/>
    <x v="0"/>
    <x v="3"/>
    <x v="1"/>
    <x v="2"/>
    <n v="7201.7"/>
  </r>
  <r>
    <x v="3"/>
    <x v="1"/>
    <x v="1"/>
    <x v="2"/>
    <x v="1"/>
    <x v="2"/>
    <n v="5425.02"/>
  </r>
  <r>
    <x v="7"/>
    <x v="1"/>
    <x v="0"/>
    <x v="0"/>
    <x v="0"/>
    <x v="3"/>
    <n v="28101.33"/>
  </r>
  <r>
    <x v="7"/>
    <x v="1"/>
    <x v="3"/>
    <x v="0"/>
    <x v="1"/>
    <x v="1"/>
    <n v="12981.35"/>
  </r>
  <r>
    <x v="9"/>
    <x v="0"/>
    <x v="4"/>
    <x v="3"/>
    <x v="0"/>
    <x v="1"/>
    <n v="43896.38"/>
  </r>
  <r>
    <x v="3"/>
    <x v="1"/>
    <x v="0"/>
    <x v="1"/>
    <x v="1"/>
    <x v="2"/>
    <n v="4239.8900000000003"/>
  </r>
  <r>
    <x v="7"/>
    <x v="1"/>
    <x v="1"/>
    <x v="0"/>
    <x v="1"/>
    <x v="3"/>
    <n v="13143.34"/>
  </r>
  <r>
    <x v="9"/>
    <x v="0"/>
    <x v="1"/>
    <x v="0"/>
    <x v="1"/>
    <x v="3"/>
    <n v="7050.02"/>
  </r>
  <r>
    <x v="8"/>
    <x v="1"/>
    <x v="1"/>
    <x v="1"/>
    <x v="1"/>
    <x v="1"/>
    <n v="9377.9"/>
  </r>
  <r>
    <x v="0"/>
    <x v="0"/>
    <x v="2"/>
    <x v="3"/>
    <x v="1"/>
    <x v="3"/>
    <n v="22395.74"/>
  </r>
  <r>
    <x v="8"/>
    <x v="1"/>
    <x v="3"/>
    <x v="3"/>
    <x v="1"/>
    <x v="0"/>
    <n v="10325.209999999999"/>
  </r>
  <r>
    <x v="6"/>
    <x v="0"/>
    <x v="0"/>
    <x v="3"/>
    <x v="1"/>
    <x v="1"/>
    <n v="12629.17"/>
  </r>
  <r>
    <x v="0"/>
    <x v="0"/>
    <x v="1"/>
    <x v="0"/>
    <x v="1"/>
    <x v="0"/>
    <n v="10795.94"/>
  </r>
  <r>
    <x v="8"/>
    <x v="0"/>
    <x v="4"/>
    <x v="2"/>
    <x v="1"/>
    <x v="0"/>
    <n v="11411.68"/>
  </r>
  <r>
    <x v="4"/>
    <x v="1"/>
    <x v="1"/>
    <x v="2"/>
    <x v="1"/>
    <x v="2"/>
    <n v="10600.55"/>
  </r>
  <r>
    <x v="1"/>
    <x v="0"/>
    <x v="1"/>
    <x v="0"/>
    <x v="1"/>
    <x v="3"/>
    <n v="2205.98"/>
  </r>
  <r>
    <x v="1"/>
    <x v="0"/>
    <x v="3"/>
    <x v="0"/>
    <x v="1"/>
    <x v="1"/>
    <n v="1629.83"/>
  </r>
  <r>
    <x v="0"/>
    <x v="0"/>
    <x v="0"/>
    <x v="0"/>
    <x v="1"/>
    <x v="0"/>
    <n v="2007.94"/>
  </r>
  <r>
    <x v="7"/>
    <x v="0"/>
    <x v="0"/>
    <x v="0"/>
    <x v="0"/>
    <x v="2"/>
    <n v="29141.36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9503F-7EC5-47C9-B85A-257315F35355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78:P86" firstHeaderRow="1" firstDataRow="2" firstDataCol="1"/>
  <pivotFields count="7">
    <pivotField showAll="0"/>
    <pivotField showAll="0"/>
    <pivotField axis="axisRow" showAll="0" sortType="ascending">
      <items count="7">
        <item x="2"/>
        <item x="1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2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" fld="6" subtotal="average" baseField="2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E614F-AE76-4FD0-837C-0E5FF601A111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46:P58" firstHeaderRow="1" firstDataRow="2" firstDataCol="1"/>
  <pivotFields count="7">
    <pivotField axis="axisRow"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" fld="6" subtotal="average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F6299-5A25-4C1B-8E38-1A4530B721A1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65:N73" firstHeaderRow="1" firstDataRow="2" firstDataCol="1"/>
  <pivotFields count="7">
    <pivotField showAll="0"/>
    <pivotField showAll="0"/>
    <pivotField axis="axisRow" showAll="0">
      <items count="7">
        <item x="2"/>
        <item x="1"/>
        <item x="3"/>
        <item x="4"/>
        <item x="0"/>
        <item x="5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2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35F89-E9D3-4D40-A337-AE279554BC2E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65:E73" firstHeaderRow="1" firstDataRow="2" firstDataCol="1"/>
  <pivotFields count="7">
    <pivotField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 sortType="ascending">
      <items count="7">
        <item x="2"/>
        <item x="1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2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harges" fld="6" subtotal="average" baseField="2" baseItem="0"/>
  </dataFields>
  <chartFormats count="2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91E9C-2183-4CF8-A85F-BF222829A125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28:E40" firstHeaderRow="1" firstDataRow="2" firstDataCol="1"/>
  <pivotFields count="7">
    <pivotField axis="axisRow"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harges" fld="6" subtotal="average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470D6-4738-4F78-8DD1-71332E0B2EA3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78:I86" firstHeaderRow="1" firstDataRow="2" firstDataCol="1"/>
  <pivotFields count="7">
    <pivotField showAll="0"/>
    <pivotField showAll="0"/>
    <pivotField axis="axisRow" showAll="0" sortType="ascending">
      <items count="7">
        <item x="2"/>
        <item x="1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dataField="1" showAll="0"/>
  </pivotFields>
  <rowFields count="1">
    <field x="2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charges" fld="6" subtotal="average" baseField="2" baseItem="0"/>
  </dataFields>
  <chartFormats count="6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6EE80-F3A6-4D3C-B117-D66814001819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9:C20" firstHeaderRow="1" firstDataRow="1" firstDataCol="1"/>
  <pivotFields count="7">
    <pivotField axis="axisRow"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harges" fld="6" subtotal="average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4A27B-3635-455F-BE97-1B52BAAD7881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G9:H16" firstHeaderRow="1" firstDataRow="1" firstDataCol="1"/>
  <pivotFields count="7">
    <pivotField showAll="0"/>
    <pivotField showAll="0"/>
    <pivotField axis="axisRow" showAll="0" sortType="ascending">
      <items count="7">
        <item x="2"/>
        <item x="1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2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Average of charges" fld="6" subtotal="average" baseField="2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5FFED-C38F-4AB1-934A-85354EC2FF06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9:L12" firstHeaderRow="1" firstDataRow="1" firstDataCol="1"/>
  <pivotFields count="7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4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DABD6-3657-42BB-B564-71CA9E0A4965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29:N41" firstHeaderRow="1" firstDataRow="2" firstDataCol="1"/>
  <pivotFields count="7">
    <pivotField axis="axisRow"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0D54F-0A9B-47B3-83FE-7022AD7C3F89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46:I58" firstHeaderRow="1" firstDataRow="2" firstDataCol="1"/>
  <pivotFields count="7">
    <pivotField axis="axisRow" showAll="0">
      <items count="11">
        <item x="1"/>
        <item x="0"/>
        <item x="2"/>
        <item x="3"/>
        <item x="5"/>
        <item x="9"/>
        <item x="4"/>
        <item x="8"/>
        <item x="6"/>
        <item x="7"/>
        <item t="default"/>
      </items>
    </pivotField>
    <pivotField showAll="0"/>
    <pivotField showAll="0"/>
    <pivotField axis="axisCol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charges" fld="6" subtotal="average" baseField="0" baseItem="0"/>
  </dataFields>
  <chartFormats count="6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526BB2-4B80-42EE-9C09-C9B79D7BF7EC}" autoFormatId="16" applyNumberFormats="0" applyBorderFormats="0" applyFontFormats="0" applyPatternFormats="0" applyAlignmentFormats="0" applyWidthHeightFormats="0">
  <queryTableRefresh nextId="12">
    <queryTableFields count="7">
      <queryTableField id="1" name="Age Bracket" tableColumnId="1"/>
      <queryTableField id="2" name="sex" tableColumnId="2"/>
      <queryTableField id="3" name="BMI Bracket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0FED4-DF1B-4E3F-B0C7-C8BCB59CD2BE}" name="Table1" displayName="Table1" ref="A1:G1339" totalsRowShown="0">
  <autoFilter ref="A1:G1339" xr:uid="{1AA0FED4-DF1B-4E3F-B0C7-C8BCB59CD2BE}"/>
  <tableColumns count="7">
    <tableColumn id="1" xr3:uid="{C6C2D2E2-9B66-4561-96CB-30E78622377C}" name="age"/>
    <tableColumn id="2" xr3:uid="{7A27AB21-77FD-4306-83D8-51B782FA645E}" name="sex"/>
    <tableColumn id="3" xr3:uid="{8D43EB2F-E28E-4B40-96DE-8649578648B0}" name="bmi"/>
    <tableColumn id="4" xr3:uid="{A8960E0A-B182-403C-B279-A92C093F37AF}" name="children"/>
    <tableColumn id="5" xr3:uid="{BDA321DF-26BF-43D8-A167-CB1B96FF90C0}" name="smoker"/>
    <tableColumn id="6" xr3:uid="{007F892E-92DB-4E17-944E-B98B16E7828C}" name="region"/>
    <tableColumn id="7" xr3:uid="{A202E49B-4C80-4576-8B0F-BA3210A75326}" name="charg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0667CE-552B-42EE-ADA3-ED75E8E724B9}" name="Table1_2" displayName="Table1_2" ref="A1:G1339" tableType="queryTable" totalsRowShown="0">
  <autoFilter ref="A1:G1339" xr:uid="{7B0667CE-552B-42EE-ADA3-ED75E8E724B9}"/>
  <tableColumns count="7">
    <tableColumn id="1" xr3:uid="{5584D9DE-A85B-45EC-B65A-0D6F2757E13F}" uniqueName="1" name="Age Bracket" queryTableFieldId="1"/>
    <tableColumn id="2" xr3:uid="{5AA04368-3D00-4927-AA41-74C6F050E22D}" uniqueName="2" name="sex" queryTableFieldId="2" dataDxfId="2"/>
    <tableColumn id="3" xr3:uid="{FC691890-D3AA-48C3-86FC-9C8E32266617}" uniqueName="3" name="BMI Bracket" queryTableFieldId="3"/>
    <tableColumn id="4" xr3:uid="{1AE90469-EF3C-4EFA-A34D-BCD52482345D}" uniqueName="4" name="children" queryTableFieldId="4"/>
    <tableColumn id="5" xr3:uid="{02AB366C-058C-47C4-894C-194045A40267}" uniqueName="5" name="smoker" queryTableFieldId="5" dataDxfId="1"/>
    <tableColumn id="6" xr3:uid="{9202EAB7-F0CE-42B7-A450-236DD552B7F9}" uniqueName="6" name="region" queryTableFieldId="6" dataDxfId="0"/>
    <tableColumn id="7" xr3:uid="{F14CEAD2-24B2-4C6D-9FE8-E57582891745}" uniqueName="7" name="charg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surance Analytics Theme">
      <a:dk1>
        <a:srgbClr val="050A30"/>
      </a:dk1>
      <a:lt1>
        <a:srgbClr val="F9E5E3"/>
      </a:lt1>
      <a:dk2>
        <a:srgbClr val="44546A"/>
      </a:dk2>
      <a:lt2>
        <a:srgbClr val="E7E6E6"/>
      </a:lt2>
      <a:accent1>
        <a:srgbClr val="249D8F"/>
      </a:accent1>
      <a:accent2>
        <a:srgbClr val="457B9D"/>
      </a:accent2>
      <a:accent3>
        <a:srgbClr val="E9C46A"/>
      </a:accent3>
      <a:accent4>
        <a:srgbClr val="F4A261"/>
      </a:accent4>
      <a:accent5>
        <a:srgbClr val="E76F51"/>
      </a:accent5>
      <a:accent6>
        <a:srgbClr val="99C24D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6083-62F3-4B14-A372-99AD8C932644}">
  <dimension ref="A1:G1339"/>
  <sheetViews>
    <sheetView workbookViewId="0">
      <selection activeCell="E14" sqref="E14"/>
    </sheetView>
  </sheetViews>
  <sheetFormatPr defaultRowHeight="15" x14ac:dyDescent="0.25"/>
  <cols>
    <col min="4" max="4" width="10.42578125" customWidth="1"/>
    <col min="5" max="5" width="9.7109375" customWidth="1"/>
    <col min="6" max="6" width="10.28515625" bestFit="1" customWidth="1"/>
    <col min="7" max="7" width="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9702-E5EA-412E-9877-44B35461A6D7}">
  <dimension ref="A1:Q1339"/>
  <sheetViews>
    <sheetView workbookViewId="0">
      <selection activeCell="Q3" sqref="Q3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3" width="13.85546875" bestFit="1" customWidth="1"/>
    <col min="4" max="4" width="10.5703125" bestFit="1" customWidth="1"/>
    <col min="5" max="5" width="9.85546875" bestFit="1" customWidth="1"/>
    <col min="6" max="6" width="10.28515625" bestFit="1" customWidth="1"/>
    <col min="7" max="7" width="10" bestFit="1" customWidth="1"/>
    <col min="8" max="8" width="10.28515625" bestFit="1" customWidth="1"/>
    <col min="9" max="9" width="10" bestFit="1" customWidth="1"/>
    <col min="14" max="14" width="12.5703125" bestFit="1" customWidth="1"/>
  </cols>
  <sheetData>
    <row r="1" spans="1:17" x14ac:dyDescent="0.25">
      <c r="A1" t="s">
        <v>15</v>
      </c>
      <c r="B1" t="s">
        <v>1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17" x14ac:dyDescent="0.25">
      <c r="A2" t="s">
        <v>17</v>
      </c>
      <c r="B2" s="3" t="s">
        <v>7</v>
      </c>
      <c r="C2" t="s">
        <v>18</v>
      </c>
      <c r="D2">
        <v>0</v>
      </c>
      <c r="E2" s="3" t="s">
        <v>8</v>
      </c>
      <c r="F2" s="3" t="s">
        <v>9</v>
      </c>
      <c r="G2">
        <v>16884.919999999998</v>
      </c>
      <c r="I2">
        <f>COUNTA(Table1_2[Age Bracket])</f>
        <v>1338</v>
      </c>
      <c r="K2" t="str" cm="1">
        <f t="array" ref="K2:K11">_xlfn.UNIQUE(Table1_2[Age Bracket])</f>
        <v>19 - 25</v>
      </c>
      <c r="L2">
        <f>COUNTIF(Table1_2[Age Bracket],K2)</f>
        <v>237</v>
      </c>
      <c r="N2" t="str" cm="1">
        <f t="array" ref="N2:N7">_xlfn.UNIQUE(Table1_2[BMI Bracket])</f>
        <v>Overweight</v>
      </c>
      <c r="O2">
        <f>COUNTIF(Table1_2[BMI Bracket],N2)</f>
        <v>377</v>
      </c>
      <c r="Q2">
        <f>COUNTIFS(Table1_2[Age Bracket],K$2,Table1_2[BMI Bracket],N2)</f>
        <v>69</v>
      </c>
    </row>
    <row r="3" spans="1:17" x14ac:dyDescent="0.25">
      <c r="A3" t="s">
        <v>19</v>
      </c>
      <c r="B3" s="3" t="s">
        <v>10</v>
      </c>
      <c r="C3" t="s">
        <v>20</v>
      </c>
      <c r="D3">
        <v>1</v>
      </c>
      <c r="E3" s="3" t="s">
        <v>11</v>
      </c>
      <c r="F3" s="3" t="s">
        <v>12</v>
      </c>
      <c r="G3">
        <v>1725.55</v>
      </c>
      <c r="K3" t="str">
        <v>0 - 18</v>
      </c>
      <c r="L3">
        <f>COUNTIF(Table1_2[Age Bracket],K3)</f>
        <v>69</v>
      </c>
      <c r="N3" t="str">
        <v>Obese I</v>
      </c>
      <c r="O3">
        <f>COUNTIF(Table1_2[BMI Bracket],N3)</f>
        <v>399</v>
      </c>
      <c r="Q3">
        <f>COUNTIFS(Table1_2[Age Bracket],K$2,Table1_2[BMI Bracket],N3)</f>
        <v>71</v>
      </c>
    </row>
    <row r="4" spans="1:17" x14ac:dyDescent="0.25">
      <c r="A4" t="s">
        <v>21</v>
      </c>
      <c r="B4" s="3" t="s">
        <v>10</v>
      </c>
      <c r="C4" t="s">
        <v>20</v>
      </c>
      <c r="D4">
        <v>3</v>
      </c>
      <c r="E4" s="3" t="s">
        <v>11</v>
      </c>
      <c r="F4" s="3" t="s">
        <v>12</v>
      </c>
      <c r="G4">
        <v>4449.46</v>
      </c>
      <c r="K4" t="str">
        <v>26 - 30</v>
      </c>
      <c r="L4">
        <f>COUNTIF(Table1_2[Age Bracket],K4)</f>
        <v>138</v>
      </c>
      <c r="N4" t="str">
        <v>Normal</v>
      </c>
      <c r="O4">
        <f>COUNTIF(Table1_2[BMI Bracket],N4)</f>
        <v>222</v>
      </c>
      <c r="Q4">
        <f>COUNTIFS(Table1_2[Age Bracket],K$2,Table1_2[BMI Bracket],N4)</f>
        <v>50</v>
      </c>
    </row>
    <row r="5" spans="1:17" x14ac:dyDescent="0.25">
      <c r="A5" t="s">
        <v>22</v>
      </c>
      <c r="B5" s="3" t="s">
        <v>10</v>
      </c>
      <c r="C5" t="s">
        <v>23</v>
      </c>
      <c r="D5">
        <v>0</v>
      </c>
      <c r="E5" s="3" t="s">
        <v>11</v>
      </c>
      <c r="F5" s="3" t="s">
        <v>13</v>
      </c>
      <c r="G5">
        <v>21984.47</v>
      </c>
      <c r="K5" t="str">
        <v>31 - 35</v>
      </c>
      <c r="L5">
        <f>COUNTIF(Table1_2[Age Bracket],K5)</f>
        <v>130</v>
      </c>
      <c r="N5" t="str">
        <v>Obese II</v>
      </c>
      <c r="O5">
        <f>COUNTIF(Table1_2[BMI Bracket],N5)</f>
        <v>226</v>
      </c>
      <c r="Q5">
        <f>COUNTIFS(Table1_2[Age Bracket],K$2,Table1_2[BMI Bracket],N5)</f>
        <v>31</v>
      </c>
    </row>
    <row r="6" spans="1:17" x14ac:dyDescent="0.25">
      <c r="A6" t="s">
        <v>22</v>
      </c>
      <c r="B6" s="3" t="s">
        <v>10</v>
      </c>
      <c r="C6" t="s">
        <v>18</v>
      </c>
      <c r="D6">
        <v>0</v>
      </c>
      <c r="E6" s="3" t="s">
        <v>11</v>
      </c>
      <c r="F6" s="3" t="s">
        <v>13</v>
      </c>
      <c r="G6">
        <v>3866.86</v>
      </c>
      <c r="K6" t="str">
        <v>46 - 50</v>
      </c>
      <c r="L6">
        <f>COUNTIF(Table1_2[Age Bracket],K6)</f>
        <v>144</v>
      </c>
      <c r="N6" t="str">
        <v>Obese III</v>
      </c>
      <c r="O6">
        <f>COUNTIF(Table1_2[BMI Bracket],N6)</f>
        <v>94</v>
      </c>
      <c r="Q6">
        <f>COUNTIFS(Table1_2[Age Bracket],K$2,Table1_2[BMI Bracket],N6)</f>
        <v>11</v>
      </c>
    </row>
    <row r="7" spans="1:17" x14ac:dyDescent="0.25">
      <c r="A7" t="s">
        <v>22</v>
      </c>
      <c r="B7" s="3" t="s">
        <v>7</v>
      </c>
      <c r="C7" t="s">
        <v>18</v>
      </c>
      <c r="D7">
        <v>0</v>
      </c>
      <c r="E7" s="3" t="s">
        <v>11</v>
      </c>
      <c r="F7" s="3" t="s">
        <v>12</v>
      </c>
      <c r="G7">
        <v>3756.62</v>
      </c>
      <c r="K7" t="str">
        <v>36 - 40</v>
      </c>
      <c r="L7">
        <f>COUNTIF(Table1_2[Age Bracket],K7)</f>
        <v>127</v>
      </c>
      <c r="N7" t="str">
        <v>Underweight</v>
      </c>
      <c r="O7">
        <f>COUNTIF(Table1_2[BMI Bracket],N7)</f>
        <v>20</v>
      </c>
      <c r="Q7">
        <f>COUNTIFS(Table1_2[Age Bracket],K$2,Table1_2[BMI Bracket],N7)</f>
        <v>5</v>
      </c>
    </row>
    <row r="8" spans="1:17" x14ac:dyDescent="0.25">
      <c r="A8" t="s">
        <v>24</v>
      </c>
      <c r="B8" s="3" t="s">
        <v>7</v>
      </c>
      <c r="C8" t="s">
        <v>20</v>
      </c>
      <c r="D8">
        <v>1</v>
      </c>
      <c r="E8" s="3" t="s">
        <v>11</v>
      </c>
      <c r="F8" s="3" t="s">
        <v>12</v>
      </c>
      <c r="G8">
        <v>8240.59</v>
      </c>
      <c r="K8" t="str">
        <v>56 - 60</v>
      </c>
      <c r="L8">
        <f>COUNTIF(Table1_2[Age Bracket],K8)</f>
        <v>125</v>
      </c>
    </row>
    <row r="9" spans="1:17" x14ac:dyDescent="0.25">
      <c r="A9" t="s">
        <v>25</v>
      </c>
      <c r="B9" s="3" t="s">
        <v>7</v>
      </c>
      <c r="C9" t="s">
        <v>18</v>
      </c>
      <c r="D9">
        <v>3</v>
      </c>
      <c r="E9" s="3" t="s">
        <v>11</v>
      </c>
      <c r="F9" s="3" t="s">
        <v>13</v>
      </c>
      <c r="G9">
        <v>7281.51</v>
      </c>
      <c r="K9" t="str">
        <v>61 - 65</v>
      </c>
      <c r="L9">
        <f>COUNTIF(Table1_2[Age Bracket],K9)</f>
        <v>91</v>
      </c>
    </row>
    <row r="10" spans="1:17" x14ac:dyDescent="0.25">
      <c r="A10" t="s">
        <v>25</v>
      </c>
      <c r="B10" s="3" t="s">
        <v>10</v>
      </c>
      <c r="C10" t="s">
        <v>18</v>
      </c>
      <c r="D10">
        <v>2</v>
      </c>
      <c r="E10" s="3" t="s">
        <v>11</v>
      </c>
      <c r="F10" s="3" t="s">
        <v>14</v>
      </c>
      <c r="G10">
        <v>6406.41</v>
      </c>
      <c r="K10" t="str">
        <v>51 - 55</v>
      </c>
      <c r="L10">
        <f>COUNTIF(Table1_2[Age Bracket],K10)</f>
        <v>140</v>
      </c>
    </row>
    <row r="11" spans="1:17" x14ac:dyDescent="0.25">
      <c r="A11" t="s">
        <v>26</v>
      </c>
      <c r="B11" s="3" t="s">
        <v>7</v>
      </c>
      <c r="C11" t="s">
        <v>18</v>
      </c>
      <c r="D11">
        <v>0</v>
      </c>
      <c r="E11" s="3" t="s">
        <v>11</v>
      </c>
      <c r="F11" s="3" t="s">
        <v>13</v>
      </c>
      <c r="G11">
        <v>28923.14</v>
      </c>
      <c r="K11" t="str">
        <v>41 - 45</v>
      </c>
      <c r="L11">
        <f>COUNTIF(Table1_2[Age Bracket],K11)</f>
        <v>137</v>
      </c>
    </row>
    <row r="12" spans="1:17" x14ac:dyDescent="0.25">
      <c r="A12" t="s">
        <v>17</v>
      </c>
      <c r="B12" s="3" t="s">
        <v>10</v>
      </c>
      <c r="C12" t="s">
        <v>18</v>
      </c>
      <c r="D12">
        <v>0</v>
      </c>
      <c r="E12" s="3" t="s">
        <v>11</v>
      </c>
      <c r="F12" s="3" t="s">
        <v>14</v>
      </c>
      <c r="G12">
        <v>2721.32</v>
      </c>
    </row>
    <row r="13" spans="1:17" x14ac:dyDescent="0.25">
      <c r="A13" t="s">
        <v>27</v>
      </c>
      <c r="B13" s="3" t="s">
        <v>7</v>
      </c>
      <c r="C13" t="s">
        <v>18</v>
      </c>
      <c r="D13">
        <v>0</v>
      </c>
      <c r="E13" s="3" t="s">
        <v>8</v>
      </c>
      <c r="F13" s="3" t="s">
        <v>12</v>
      </c>
      <c r="G13">
        <v>27808.73</v>
      </c>
    </row>
    <row r="14" spans="1:17" x14ac:dyDescent="0.25">
      <c r="A14" t="s">
        <v>17</v>
      </c>
      <c r="B14" s="3" t="s">
        <v>10</v>
      </c>
      <c r="C14" t="s">
        <v>20</v>
      </c>
      <c r="D14">
        <v>0</v>
      </c>
      <c r="E14" s="3" t="s">
        <v>11</v>
      </c>
      <c r="F14" s="3" t="s">
        <v>9</v>
      </c>
      <c r="G14">
        <v>1826.84</v>
      </c>
    </row>
    <row r="15" spans="1:17" x14ac:dyDescent="0.25">
      <c r="A15" t="s">
        <v>26</v>
      </c>
      <c r="B15" s="3" t="s">
        <v>7</v>
      </c>
      <c r="C15" t="s">
        <v>28</v>
      </c>
      <c r="D15">
        <v>0</v>
      </c>
      <c r="E15" s="3" t="s">
        <v>11</v>
      </c>
      <c r="F15" s="3" t="s">
        <v>12</v>
      </c>
      <c r="G15">
        <v>11090.72</v>
      </c>
    </row>
    <row r="16" spans="1:17" x14ac:dyDescent="0.25">
      <c r="A16" t="s">
        <v>21</v>
      </c>
      <c r="B16" s="3" t="s">
        <v>10</v>
      </c>
      <c r="C16" t="s">
        <v>29</v>
      </c>
      <c r="D16">
        <v>0</v>
      </c>
      <c r="E16" s="3" t="s">
        <v>8</v>
      </c>
      <c r="F16" s="3" t="s">
        <v>12</v>
      </c>
      <c r="G16">
        <v>39611.760000000002</v>
      </c>
    </row>
    <row r="17" spans="1:7" x14ac:dyDescent="0.25">
      <c r="A17" t="s">
        <v>17</v>
      </c>
      <c r="B17" s="3" t="s">
        <v>10</v>
      </c>
      <c r="C17" t="s">
        <v>23</v>
      </c>
      <c r="D17">
        <v>1</v>
      </c>
      <c r="E17" s="3" t="s">
        <v>11</v>
      </c>
      <c r="F17" s="3" t="s">
        <v>9</v>
      </c>
      <c r="G17">
        <v>1837.24</v>
      </c>
    </row>
    <row r="18" spans="1:7" x14ac:dyDescent="0.25">
      <c r="A18" t="s">
        <v>30</v>
      </c>
      <c r="B18" s="3" t="s">
        <v>7</v>
      </c>
      <c r="C18" t="s">
        <v>20</v>
      </c>
      <c r="D18">
        <v>1</v>
      </c>
      <c r="E18" s="3" t="s">
        <v>11</v>
      </c>
      <c r="F18" s="3" t="s">
        <v>14</v>
      </c>
      <c r="G18">
        <v>10797.34</v>
      </c>
    </row>
    <row r="19" spans="1:7" x14ac:dyDescent="0.25">
      <c r="A19" t="s">
        <v>17</v>
      </c>
      <c r="B19" s="3" t="s">
        <v>10</v>
      </c>
      <c r="C19" t="s">
        <v>23</v>
      </c>
      <c r="D19">
        <v>0</v>
      </c>
      <c r="E19" s="3" t="s">
        <v>11</v>
      </c>
      <c r="F19" s="3" t="s">
        <v>14</v>
      </c>
      <c r="G19">
        <v>2395.17</v>
      </c>
    </row>
    <row r="20" spans="1:7" x14ac:dyDescent="0.25">
      <c r="A20" t="s">
        <v>26</v>
      </c>
      <c r="B20" s="3" t="s">
        <v>10</v>
      </c>
      <c r="C20" t="s">
        <v>29</v>
      </c>
      <c r="D20">
        <v>0</v>
      </c>
      <c r="E20" s="3" t="s">
        <v>11</v>
      </c>
      <c r="F20" s="3" t="s">
        <v>9</v>
      </c>
      <c r="G20">
        <v>10602.38</v>
      </c>
    </row>
    <row r="21" spans="1:7" x14ac:dyDescent="0.25">
      <c r="A21" t="s">
        <v>21</v>
      </c>
      <c r="B21" s="3" t="s">
        <v>10</v>
      </c>
      <c r="C21" t="s">
        <v>28</v>
      </c>
      <c r="D21">
        <v>0</v>
      </c>
      <c r="E21" s="3" t="s">
        <v>8</v>
      </c>
      <c r="F21" s="3" t="s">
        <v>9</v>
      </c>
      <c r="G21">
        <v>36837.47</v>
      </c>
    </row>
    <row r="22" spans="1:7" x14ac:dyDescent="0.25">
      <c r="A22" t="s">
        <v>26</v>
      </c>
      <c r="B22" s="3" t="s">
        <v>7</v>
      </c>
      <c r="C22" t="s">
        <v>28</v>
      </c>
      <c r="D22">
        <v>0</v>
      </c>
      <c r="E22" s="3" t="s">
        <v>11</v>
      </c>
      <c r="F22" s="3" t="s">
        <v>14</v>
      </c>
      <c r="G22">
        <v>13228.85</v>
      </c>
    </row>
    <row r="23" spans="1:7" x14ac:dyDescent="0.25">
      <c r="A23" t="s">
        <v>21</v>
      </c>
      <c r="B23" s="3" t="s">
        <v>7</v>
      </c>
      <c r="C23" t="s">
        <v>20</v>
      </c>
      <c r="D23">
        <v>1</v>
      </c>
      <c r="E23" s="3" t="s">
        <v>11</v>
      </c>
      <c r="F23" s="3" t="s">
        <v>9</v>
      </c>
      <c r="G23">
        <v>4149.74</v>
      </c>
    </row>
    <row r="24" spans="1:7" x14ac:dyDescent="0.25">
      <c r="A24" t="s">
        <v>19</v>
      </c>
      <c r="B24" s="3" t="s">
        <v>10</v>
      </c>
      <c r="C24" t="s">
        <v>20</v>
      </c>
      <c r="D24">
        <v>0</v>
      </c>
      <c r="E24" s="3" t="s">
        <v>11</v>
      </c>
      <c r="F24" s="3" t="s">
        <v>12</v>
      </c>
      <c r="G24">
        <v>1137.01</v>
      </c>
    </row>
    <row r="25" spans="1:7" x14ac:dyDescent="0.25">
      <c r="A25" t="s">
        <v>22</v>
      </c>
      <c r="B25" s="3" t="s">
        <v>7</v>
      </c>
      <c r="C25" t="s">
        <v>20</v>
      </c>
      <c r="D25">
        <v>1</v>
      </c>
      <c r="E25" s="3" t="s">
        <v>8</v>
      </c>
      <c r="F25" s="3" t="s">
        <v>14</v>
      </c>
      <c r="G25">
        <v>37701.879999999997</v>
      </c>
    </row>
    <row r="26" spans="1:7" x14ac:dyDescent="0.25">
      <c r="A26" t="s">
        <v>25</v>
      </c>
      <c r="B26" s="3" t="s">
        <v>10</v>
      </c>
      <c r="C26" t="s">
        <v>18</v>
      </c>
      <c r="D26">
        <v>2</v>
      </c>
      <c r="E26" s="3" t="s">
        <v>11</v>
      </c>
      <c r="F26" s="3" t="s">
        <v>13</v>
      </c>
      <c r="G26">
        <v>6203.9</v>
      </c>
    </row>
    <row r="27" spans="1:7" x14ac:dyDescent="0.25">
      <c r="A27" t="s">
        <v>26</v>
      </c>
      <c r="B27" s="3" t="s">
        <v>7</v>
      </c>
      <c r="C27" t="s">
        <v>18</v>
      </c>
      <c r="D27">
        <v>3</v>
      </c>
      <c r="E27" s="3" t="s">
        <v>11</v>
      </c>
      <c r="F27" s="3" t="s">
        <v>12</v>
      </c>
      <c r="G27">
        <v>14001.13</v>
      </c>
    </row>
    <row r="28" spans="1:7" x14ac:dyDescent="0.25">
      <c r="A28" t="s">
        <v>27</v>
      </c>
      <c r="B28" s="3" t="s">
        <v>7</v>
      </c>
      <c r="C28" t="s">
        <v>23</v>
      </c>
      <c r="D28">
        <v>0</v>
      </c>
      <c r="E28" s="3" t="s">
        <v>11</v>
      </c>
      <c r="F28" s="3" t="s">
        <v>14</v>
      </c>
      <c r="G28">
        <v>14451.84</v>
      </c>
    </row>
    <row r="29" spans="1:7" x14ac:dyDescent="0.25">
      <c r="A29" t="s">
        <v>30</v>
      </c>
      <c r="B29" s="3" t="s">
        <v>7</v>
      </c>
      <c r="C29" t="s">
        <v>20</v>
      </c>
      <c r="D29">
        <v>2</v>
      </c>
      <c r="E29" s="3" t="s">
        <v>11</v>
      </c>
      <c r="F29" s="3" t="s">
        <v>13</v>
      </c>
      <c r="G29">
        <v>12268.63</v>
      </c>
    </row>
    <row r="30" spans="1:7" x14ac:dyDescent="0.25">
      <c r="A30" t="s">
        <v>17</v>
      </c>
      <c r="B30" s="3" t="s">
        <v>10</v>
      </c>
      <c r="C30" t="s">
        <v>31</v>
      </c>
      <c r="D30">
        <v>1</v>
      </c>
      <c r="E30" s="3" t="s">
        <v>11</v>
      </c>
      <c r="F30" s="3" t="s">
        <v>13</v>
      </c>
      <c r="G30">
        <v>2775.19</v>
      </c>
    </row>
    <row r="31" spans="1:7" x14ac:dyDescent="0.25">
      <c r="A31" t="s">
        <v>22</v>
      </c>
      <c r="B31" s="3" t="s">
        <v>10</v>
      </c>
      <c r="C31" t="s">
        <v>28</v>
      </c>
      <c r="D31">
        <v>2</v>
      </c>
      <c r="E31" s="3" t="s">
        <v>8</v>
      </c>
      <c r="F31" s="3" t="s">
        <v>9</v>
      </c>
      <c r="G31">
        <v>38711</v>
      </c>
    </row>
    <row r="32" spans="1:7" x14ac:dyDescent="0.25">
      <c r="A32" t="s">
        <v>17</v>
      </c>
      <c r="B32" s="3" t="s">
        <v>10</v>
      </c>
      <c r="C32" t="s">
        <v>28</v>
      </c>
      <c r="D32">
        <v>0</v>
      </c>
      <c r="E32" s="3" t="s">
        <v>8</v>
      </c>
      <c r="F32" s="3" t="s">
        <v>9</v>
      </c>
      <c r="G32">
        <v>35585.58</v>
      </c>
    </row>
    <row r="33" spans="1:7" x14ac:dyDescent="0.25">
      <c r="A33" t="s">
        <v>19</v>
      </c>
      <c r="B33" s="3" t="s">
        <v>7</v>
      </c>
      <c r="C33" t="s">
        <v>18</v>
      </c>
      <c r="D33">
        <v>0</v>
      </c>
      <c r="E33" s="3" t="s">
        <v>11</v>
      </c>
      <c r="F33" s="3" t="s">
        <v>14</v>
      </c>
      <c r="G33">
        <v>2198.19</v>
      </c>
    </row>
    <row r="34" spans="1:7" x14ac:dyDescent="0.25">
      <c r="A34" t="s">
        <v>17</v>
      </c>
      <c r="B34" s="3" t="s">
        <v>7</v>
      </c>
      <c r="C34" t="s">
        <v>18</v>
      </c>
      <c r="D34">
        <v>5</v>
      </c>
      <c r="E34" s="3" t="s">
        <v>11</v>
      </c>
      <c r="F34" s="3" t="s">
        <v>9</v>
      </c>
      <c r="G34">
        <v>4687.8</v>
      </c>
    </row>
    <row r="35" spans="1:7" x14ac:dyDescent="0.25">
      <c r="A35" t="s">
        <v>27</v>
      </c>
      <c r="B35" s="3" t="s">
        <v>10</v>
      </c>
      <c r="C35" t="s">
        <v>18</v>
      </c>
      <c r="D35">
        <v>0</v>
      </c>
      <c r="E35" s="3" t="s">
        <v>11</v>
      </c>
      <c r="F35" s="3" t="s">
        <v>13</v>
      </c>
      <c r="G35">
        <v>13770.1</v>
      </c>
    </row>
    <row r="36" spans="1:7" x14ac:dyDescent="0.25">
      <c r="A36" t="s">
        <v>21</v>
      </c>
      <c r="B36" s="3" t="s">
        <v>10</v>
      </c>
      <c r="C36" t="s">
        <v>28</v>
      </c>
      <c r="D36">
        <v>1</v>
      </c>
      <c r="E36" s="3" t="s">
        <v>8</v>
      </c>
      <c r="F36" s="3" t="s">
        <v>9</v>
      </c>
      <c r="G36">
        <v>51194.559999999998</v>
      </c>
    </row>
    <row r="37" spans="1:7" x14ac:dyDescent="0.25">
      <c r="A37" t="s">
        <v>17</v>
      </c>
      <c r="B37" s="3" t="s">
        <v>10</v>
      </c>
      <c r="C37" t="s">
        <v>23</v>
      </c>
      <c r="D37">
        <v>0</v>
      </c>
      <c r="E37" s="3" t="s">
        <v>11</v>
      </c>
      <c r="F37" s="3" t="s">
        <v>13</v>
      </c>
      <c r="G37">
        <v>1625.43</v>
      </c>
    </row>
    <row r="38" spans="1:7" x14ac:dyDescent="0.25">
      <c r="A38" t="s">
        <v>27</v>
      </c>
      <c r="B38" s="3" t="s">
        <v>7</v>
      </c>
      <c r="C38" t="s">
        <v>20</v>
      </c>
      <c r="D38">
        <v>3</v>
      </c>
      <c r="E38" s="3" t="s">
        <v>11</v>
      </c>
      <c r="F38" s="3" t="s">
        <v>13</v>
      </c>
      <c r="G38">
        <v>15612.19</v>
      </c>
    </row>
    <row r="39" spans="1:7" x14ac:dyDescent="0.25">
      <c r="A39" t="s">
        <v>21</v>
      </c>
      <c r="B39" s="3" t="s">
        <v>10</v>
      </c>
      <c r="C39" t="s">
        <v>23</v>
      </c>
      <c r="D39">
        <v>0</v>
      </c>
      <c r="E39" s="3" t="s">
        <v>11</v>
      </c>
      <c r="F39" s="3" t="s">
        <v>9</v>
      </c>
      <c r="G39">
        <v>2302.3000000000002</v>
      </c>
    </row>
    <row r="40" spans="1:7" x14ac:dyDescent="0.25">
      <c r="A40" t="s">
        <v>22</v>
      </c>
      <c r="B40" s="3" t="s">
        <v>10</v>
      </c>
      <c r="C40" t="s">
        <v>28</v>
      </c>
      <c r="D40">
        <v>1</v>
      </c>
      <c r="E40" s="3" t="s">
        <v>8</v>
      </c>
      <c r="F40" s="3" t="s">
        <v>14</v>
      </c>
      <c r="G40">
        <v>39774.28</v>
      </c>
    </row>
    <row r="41" spans="1:7" x14ac:dyDescent="0.25">
      <c r="A41" t="s">
        <v>26</v>
      </c>
      <c r="B41" s="3" t="s">
        <v>10</v>
      </c>
      <c r="C41" t="s">
        <v>29</v>
      </c>
      <c r="D41">
        <v>0</v>
      </c>
      <c r="E41" s="3" t="s">
        <v>8</v>
      </c>
      <c r="F41" s="3" t="s">
        <v>9</v>
      </c>
      <c r="G41">
        <v>48173.36</v>
      </c>
    </row>
    <row r="42" spans="1:7" x14ac:dyDescent="0.25">
      <c r="A42" t="s">
        <v>17</v>
      </c>
      <c r="B42" s="3" t="s">
        <v>7</v>
      </c>
      <c r="C42" t="s">
        <v>18</v>
      </c>
      <c r="D42">
        <v>0</v>
      </c>
      <c r="E42" s="3" t="s">
        <v>11</v>
      </c>
      <c r="F42" s="3" t="s">
        <v>14</v>
      </c>
      <c r="G42">
        <v>3046.06</v>
      </c>
    </row>
    <row r="43" spans="1:7" x14ac:dyDescent="0.25">
      <c r="A43" t="s">
        <v>22</v>
      </c>
      <c r="B43" s="3" t="s">
        <v>7</v>
      </c>
      <c r="C43" t="s">
        <v>28</v>
      </c>
      <c r="D43">
        <v>2</v>
      </c>
      <c r="E43" s="3" t="s">
        <v>11</v>
      </c>
      <c r="F43" s="3" t="s">
        <v>12</v>
      </c>
      <c r="G43">
        <v>4949.76</v>
      </c>
    </row>
    <row r="44" spans="1:7" x14ac:dyDescent="0.25">
      <c r="A44" t="s">
        <v>32</v>
      </c>
      <c r="B44" s="3" t="s">
        <v>10</v>
      </c>
      <c r="C44" t="s">
        <v>23</v>
      </c>
      <c r="D44">
        <v>1</v>
      </c>
      <c r="E44" s="3" t="s">
        <v>11</v>
      </c>
      <c r="F44" s="3" t="s">
        <v>12</v>
      </c>
      <c r="G44">
        <v>6272.48</v>
      </c>
    </row>
    <row r="45" spans="1:7" x14ac:dyDescent="0.25">
      <c r="A45" t="s">
        <v>25</v>
      </c>
      <c r="B45" s="3" t="s">
        <v>7</v>
      </c>
      <c r="C45" t="s">
        <v>20</v>
      </c>
      <c r="D45">
        <v>2</v>
      </c>
      <c r="E45" s="3" t="s">
        <v>11</v>
      </c>
      <c r="F45" s="3" t="s">
        <v>12</v>
      </c>
      <c r="G45">
        <v>6313.76</v>
      </c>
    </row>
    <row r="46" spans="1:7" x14ac:dyDescent="0.25">
      <c r="A46" t="s">
        <v>25</v>
      </c>
      <c r="B46" s="3" t="s">
        <v>10</v>
      </c>
      <c r="C46" t="s">
        <v>28</v>
      </c>
      <c r="D46">
        <v>1</v>
      </c>
      <c r="E46" s="3" t="s">
        <v>11</v>
      </c>
      <c r="F46" s="3" t="s">
        <v>14</v>
      </c>
      <c r="G46">
        <v>6079.67</v>
      </c>
    </row>
    <row r="47" spans="1:7" x14ac:dyDescent="0.25">
      <c r="A47" t="s">
        <v>30</v>
      </c>
      <c r="B47" s="3" t="s">
        <v>10</v>
      </c>
      <c r="C47" t="s">
        <v>28</v>
      </c>
      <c r="D47">
        <v>0</v>
      </c>
      <c r="E47" s="3" t="s">
        <v>11</v>
      </c>
      <c r="F47" s="3" t="s">
        <v>9</v>
      </c>
      <c r="G47">
        <v>20630.28</v>
      </c>
    </row>
    <row r="48" spans="1:7" x14ac:dyDescent="0.25">
      <c r="A48" t="s">
        <v>19</v>
      </c>
      <c r="B48" s="3" t="s">
        <v>7</v>
      </c>
      <c r="C48" t="s">
        <v>28</v>
      </c>
      <c r="D48">
        <v>2</v>
      </c>
      <c r="E48" s="3" t="s">
        <v>11</v>
      </c>
      <c r="F48" s="3" t="s">
        <v>14</v>
      </c>
      <c r="G48">
        <v>3393.36</v>
      </c>
    </row>
    <row r="49" spans="1:7" x14ac:dyDescent="0.25">
      <c r="A49" t="s">
        <v>21</v>
      </c>
      <c r="B49" s="3" t="s">
        <v>7</v>
      </c>
      <c r="C49" t="s">
        <v>20</v>
      </c>
      <c r="D49">
        <v>0</v>
      </c>
      <c r="E49" s="3" t="s">
        <v>11</v>
      </c>
      <c r="F49" s="3" t="s">
        <v>13</v>
      </c>
      <c r="G49">
        <v>3556.92</v>
      </c>
    </row>
    <row r="50" spans="1:7" x14ac:dyDescent="0.25">
      <c r="A50" t="s">
        <v>26</v>
      </c>
      <c r="B50" s="3" t="s">
        <v>7</v>
      </c>
      <c r="C50" t="s">
        <v>23</v>
      </c>
      <c r="D50">
        <v>0</v>
      </c>
      <c r="E50" s="3" t="s">
        <v>11</v>
      </c>
      <c r="F50" s="3" t="s">
        <v>12</v>
      </c>
      <c r="G50">
        <v>12629.9</v>
      </c>
    </row>
    <row r="51" spans="1:7" x14ac:dyDescent="0.25">
      <c r="A51" t="s">
        <v>25</v>
      </c>
      <c r="B51" s="3" t="s">
        <v>10</v>
      </c>
      <c r="C51" t="s">
        <v>28</v>
      </c>
      <c r="D51">
        <v>1</v>
      </c>
      <c r="E51" s="3" t="s">
        <v>8</v>
      </c>
      <c r="F51" s="3" t="s">
        <v>12</v>
      </c>
      <c r="G51">
        <v>38709.18</v>
      </c>
    </row>
    <row r="52" spans="1:7" x14ac:dyDescent="0.25">
      <c r="A52" t="s">
        <v>19</v>
      </c>
      <c r="B52" s="3" t="s">
        <v>7</v>
      </c>
      <c r="C52" t="s">
        <v>28</v>
      </c>
      <c r="D52">
        <v>0</v>
      </c>
      <c r="E52" s="3" t="s">
        <v>11</v>
      </c>
      <c r="F52" s="3" t="s">
        <v>14</v>
      </c>
      <c r="G52">
        <v>2211.13</v>
      </c>
    </row>
    <row r="53" spans="1:7" x14ac:dyDescent="0.25">
      <c r="A53" t="s">
        <v>17</v>
      </c>
      <c r="B53" s="3" t="s">
        <v>7</v>
      </c>
      <c r="C53" t="s">
        <v>20</v>
      </c>
      <c r="D53">
        <v>2</v>
      </c>
      <c r="E53" s="3" t="s">
        <v>11</v>
      </c>
      <c r="F53" s="3" t="s">
        <v>13</v>
      </c>
      <c r="G53">
        <v>3579.83</v>
      </c>
    </row>
    <row r="54" spans="1:7" x14ac:dyDescent="0.25">
      <c r="A54" t="s">
        <v>24</v>
      </c>
      <c r="B54" s="3" t="s">
        <v>10</v>
      </c>
      <c r="C54" t="s">
        <v>18</v>
      </c>
      <c r="D54">
        <v>1</v>
      </c>
      <c r="E54" s="3" t="s">
        <v>8</v>
      </c>
      <c r="F54" s="3" t="s">
        <v>9</v>
      </c>
      <c r="G54">
        <v>23568.27</v>
      </c>
    </row>
    <row r="55" spans="1:7" x14ac:dyDescent="0.25">
      <c r="A55" t="s">
        <v>25</v>
      </c>
      <c r="B55" s="3" t="s">
        <v>10</v>
      </c>
      <c r="C55" t="s">
        <v>20</v>
      </c>
      <c r="D55">
        <v>0</v>
      </c>
      <c r="E55" s="3" t="s">
        <v>8</v>
      </c>
      <c r="F55" s="3" t="s">
        <v>12</v>
      </c>
      <c r="G55">
        <v>37742.58</v>
      </c>
    </row>
    <row r="56" spans="1:7" x14ac:dyDescent="0.25">
      <c r="A56" t="s">
        <v>25</v>
      </c>
      <c r="B56" s="3" t="s">
        <v>7</v>
      </c>
      <c r="C56" t="s">
        <v>18</v>
      </c>
      <c r="D56">
        <v>3</v>
      </c>
      <c r="E56" s="3" t="s">
        <v>11</v>
      </c>
      <c r="F56" s="3" t="s">
        <v>13</v>
      </c>
      <c r="G56">
        <v>8059.68</v>
      </c>
    </row>
    <row r="57" spans="1:7" x14ac:dyDescent="0.25">
      <c r="A57" t="s">
        <v>26</v>
      </c>
      <c r="B57" s="3" t="s">
        <v>10</v>
      </c>
      <c r="C57" t="s">
        <v>28</v>
      </c>
      <c r="D57">
        <v>2</v>
      </c>
      <c r="E57" s="3" t="s">
        <v>8</v>
      </c>
      <c r="F57" s="3" t="s">
        <v>13</v>
      </c>
      <c r="G57">
        <v>47496.49</v>
      </c>
    </row>
    <row r="58" spans="1:7" x14ac:dyDescent="0.25">
      <c r="A58" t="s">
        <v>26</v>
      </c>
      <c r="B58" s="3" t="s">
        <v>7</v>
      </c>
      <c r="C58" t="s">
        <v>20</v>
      </c>
      <c r="D58">
        <v>2</v>
      </c>
      <c r="E58" s="3" t="s">
        <v>11</v>
      </c>
      <c r="F58" s="3" t="s">
        <v>14</v>
      </c>
      <c r="G58">
        <v>13607.37</v>
      </c>
    </row>
    <row r="59" spans="1:7" x14ac:dyDescent="0.25">
      <c r="A59" t="s">
        <v>19</v>
      </c>
      <c r="B59" s="3" t="s">
        <v>10</v>
      </c>
      <c r="C59" t="s">
        <v>20</v>
      </c>
      <c r="D59">
        <v>2</v>
      </c>
      <c r="E59" s="3" t="s">
        <v>8</v>
      </c>
      <c r="F59" s="3" t="s">
        <v>12</v>
      </c>
      <c r="G59">
        <v>34303.17</v>
      </c>
    </row>
    <row r="60" spans="1:7" x14ac:dyDescent="0.25">
      <c r="A60" t="s">
        <v>30</v>
      </c>
      <c r="B60" s="3" t="s">
        <v>7</v>
      </c>
      <c r="C60" t="s">
        <v>23</v>
      </c>
      <c r="D60">
        <v>1</v>
      </c>
      <c r="E60" s="3" t="s">
        <v>8</v>
      </c>
      <c r="F60" s="3" t="s">
        <v>12</v>
      </c>
      <c r="G60">
        <v>23244.79</v>
      </c>
    </row>
    <row r="61" spans="1:7" x14ac:dyDescent="0.25">
      <c r="A61" t="s">
        <v>22</v>
      </c>
      <c r="B61" s="3" t="s">
        <v>7</v>
      </c>
      <c r="C61" t="s">
        <v>28</v>
      </c>
      <c r="D61">
        <v>2</v>
      </c>
      <c r="E61" s="3" t="s">
        <v>11</v>
      </c>
      <c r="F61" s="3" t="s">
        <v>13</v>
      </c>
      <c r="G61">
        <v>5989.52</v>
      </c>
    </row>
    <row r="62" spans="1:7" x14ac:dyDescent="0.25">
      <c r="A62" t="s">
        <v>32</v>
      </c>
      <c r="B62" s="3" t="s">
        <v>10</v>
      </c>
      <c r="C62" t="s">
        <v>18</v>
      </c>
      <c r="D62">
        <v>3</v>
      </c>
      <c r="E62" s="3" t="s">
        <v>11</v>
      </c>
      <c r="F62" s="3" t="s">
        <v>14</v>
      </c>
      <c r="G62">
        <v>8606.2199999999993</v>
      </c>
    </row>
    <row r="63" spans="1:7" x14ac:dyDescent="0.25">
      <c r="A63" t="s">
        <v>17</v>
      </c>
      <c r="B63" s="3" t="s">
        <v>10</v>
      </c>
      <c r="C63" t="s">
        <v>20</v>
      </c>
      <c r="D63">
        <v>4</v>
      </c>
      <c r="E63" s="3" t="s">
        <v>11</v>
      </c>
      <c r="F63" s="3" t="s">
        <v>12</v>
      </c>
      <c r="G63">
        <v>4504.66</v>
      </c>
    </row>
    <row r="64" spans="1:7" x14ac:dyDescent="0.25">
      <c r="A64" t="s">
        <v>27</v>
      </c>
      <c r="B64" s="3" t="s">
        <v>10</v>
      </c>
      <c r="C64" t="s">
        <v>23</v>
      </c>
      <c r="D64">
        <v>1</v>
      </c>
      <c r="E64" s="3" t="s">
        <v>11</v>
      </c>
      <c r="F64" s="3" t="s">
        <v>13</v>
      </c>
      <c r="G64">
        <v>30166.62</v>
      </c>
    </row>
    <row r="65" spans="1:7" x14ac:dyDescent="0.25">
      <c r="A65" t="s">
        <v>21</v>
      </c>
      <c r="B65" s="3" t="s">
        <v>7</v>
      </c>
      <c r="C65" t="s">
        <v>18</v>
      </c>
      <c r="D65">
        <v>1</v>
      </c>
      <c r="E65" s="3" t="s">
        <v>11</v>
      </c>
      <c r="F65" s="3" t="s">
        <v>13</v>
      </c>
      <c r="G65">
        <v>4133.6400000000003</v>
      </c>
    </row>
    <row r="66" spans="1:7" x14ac:dyDescent="0.25">
      <c r="A66" t="s">
        <v>17</v>
      </c>
      <c r="B66" s="3" t="s">
        <v>7</v>
      </c>
      <c r="C66" t="s">
        <v>23</v>
      </c>
      <c r="D66">
        <v>0</v>
      </c>
      <c r="E66" s="3" t="s">
        <v>8</v>
      </c>
      <c r="F66" s="3" t="s">
        <v>13</v>
      </c>
      <c r="G66">
        <v>14711.74</v>
      </c>
    </row>
    <row r="67" spans="1:7" x14ac:dyDescent="0.25">
      <c r="A67" t="s">
        <v>17</v>
      </c>
      <c r="B67" s="3" t="s">
        <v>7</v>
      </c>
      <c r="C67" t="s">
        <v>18</v>
      </c>
      <c r="D67">
        <v>0</v>
      </c>
      <c r="E67" s="3" t="s">
        <v>11</v>
      </c>
      <c r="F67" s="3" t="s">
        <v>9</v>
      </c>
      <c r="G67">
        <v>1743.21</v>
      </c>
    </row>
    <row r="68" spans="1:7" x14ac:dyDescent="0.25">
      <c r="A68" t="s">
        <v>27</v>
      </c>
      <c r="B68" s="3" t="s">
        <v>7</v>
      </c>
      <c r="C68" t="s">
        <v>28</v>
      </c>
      <c r="D68">
        <v>2</v>
      </c>
      <c r="E68" s="3" t="s">
        <v>11</v>
      </c>
      <c r="F68" s="3" t="s">
        <v>9</v>
      </c>
      <c r="G68">
        <v>14235.07</v>
      </c>
    </row>
    <row r="69" spans="1:7" x14ac:dyDescent="0.25">
      <c r="A69" t="s">
        <v>25</v>
      </c>
      <c r="B69" s="3" t="s">
        <v>10</v>
      </c>
      <c r="C69" t="s">
        <v>18</v>
      </c>
      <c r="D69">
        <v>1</v>
      </c>
      <c r="E69" s="3" t="s">
        <v>11</v>
      </c>
      <c r="F69" s="3" t="s">
        <v>13</v>
      </c>
      <c r="G69">
        <v>6389.38</v>
      </c>
    </row>
    <row r="70" spans="1:7" x14ac:dyDescent="0.25">
      <c r="A70" t="s">
        <v>25</v>
      </c>
      <c r="B70" s="3" t="s">
        <v>7</v>
      </c>
      <c r="C70" t="s">
        <v>28</v>
      </c>
      <c r="D70">
        <v>0</v>
      </c>
      <c r="E70" s="3" t="s">
        <v>11</v>
      </c>
      <c r="F70" s="3" t="s">
        <v>12</v>
      </c>
      <c r="G70">
        <v>5920.1</v>
      </c>
    </row>
    <row r="71" spans="1:7" x14ac:dyDescent="0.25">
      <c r="A71" t="s">
        <v>21</v>
      </c>
      <c r="B71" s="3" t="s">
        <v>10</v>
      </c>
      <c r="C71" t="s">
        <v>23</v>
      </c>
      <c r="D71">
        <v>3</v>
      </c>
      <c r="E71" s="3" t="s">
        <v>8</v>
      </c>
      <c r="F71" s="3" t="s">
        <v>12</v>
      </c>
      <c r="G71">
        <v>17663.14</v>
      </c>
    </row>
    <row r="72" spans="1:7" x14ac:dyDescent="0.25">
      <c r="A72" t="s">
        <v>21</v>
      </c>
      <c r="B72" s="3" t="s">
        <v>7</v>
      </c>
      <c r="C72" t="s">
        <v>23</v>
      </c>
      <c r="D72">
        <v>0</v>
      </c>
      <c r="E72" s="3" t="s">
        <v>8</v>
      </c>
      <c r="F72" s="3" t="s">
        <v>12</v>
      </c>
      <c r="G72">
        <v>16577.78</v>
      </c>
    </row>
    <row r="73" spans="1:7" x14ac:dyDescent="0.25">
      <c r="A73" t="s">
        <v>22</v>
      </c>
      <c r="B73" s="3" t="s">
        <v>10</v>
      </c>
      <c r="C73" t="s">
        <v>18</v>
      </c>
      <c r="D73">
        <v>5</v>
      </c>
      <c r="E73" s="3" t="s">
        <v>11</v>
      </c>
      <c r="F73" s="3" t="s">
        <v>14</v>
      </c>
      <c r="G73">
        <v>6799.46</v>
      </c>
    </row>
    <row r="74" spans="1:7" x14ac:dyDescent="0.25">
      <c r="A74" t="s">
        <v>30</v>
      </c>
      <c r="B74" s="3" t="s">
        <v>7</v>
      </c>
      <c r="C74" t="s">
        <v>18</v>
      </c>
      <c r="D74">
        <v>3</v>
      </c>
      <c r="E74" s="3" t="s">
        <v>11</v>
      </c>
      <c r="F74" s="3" t="s">
        <v>9</v>
      </c>
      <c r="G74">
        <v>11741.73</v>
      </c>
    </row>
    <row r="75" spans="1:7" x14ac:dyDescent="0.25">
      <c r="A75" t="s">
        <v>26</v>
      </c>
      <c r="B75" s="3" t="s">
        <v>10</v>
      </c>
      <c r="C75" t="s">
        <v>20</v>
      </c>
      <c r="D75">
        <v>1</v>
      </c>
      <c r="E75" s="3" t="s">
        <v>11</v>
      </c>
      <c r="F75" s="3" t="s">
        <v>12</v>
      </c>
      <c r="G75">
        <v>11946.63</v>
      </c>
    </row>
    <row r="76" spans="1:7" x14ac:dyDescent="0.25">
      <c r="A76" t="s">
        <v>32</v>
      </c>
      <c r="B76" s="3" t="s">
        <v>10</v>
      </c>
      <c r="C76" t="s">
        <v>18</v>
      </c>
      <c r="D76">
        <v>2</v>
      </c>
      <c r="E76" s="3" t="s">
        <v>11</v>
      </c>
      <c r="F76" s="3" t="s">
        <v>9</v>
      </c>
      <c r="G76">
        <v>7726.85</v>
      </c>
    </row>
    <row r="77" spans="1:7" x14ac:dyDescent="0.25">
      <c r="A77" t="s">
        <v>26</v>
      </c>
      <c r="B77" s="3" t="s">
        <v>10</v>
      </c>
      <c r="C77" t="s">
        <v>20</v>
      </c>
      <c r="D77">
        <v>0</v>
      </c>
      <c r="E77" s="3" t="s">
        <v>11</v>
      </c>
      <c r="F77" s="3" t="s">
        <v>13</v>
      </c>
      <c r="G77">
        <v>11356.66</v>
      </c>
    </row>
    <row r="78" spans="1:7" x14ac:dyDescent="0.25">
      <c r="A78" t="s">
        <v>21</v>
      </c>
      <c r="B78" s="3" t="s">
        <v>7</v>
      </c>
      <c r="C78" t="s">
        <v>18</v>
      </c>
      <c r="D78">
        <v>1</v>
      </c>
      <c r="E78" s="3" t="s">
        <v>11</v>
      </c>
      <c r="F78" s="3" t="s">
        <v>12</v>
      </c>
      <c r="G78">
        <v>3947.41</v>
      </c>
    </row>
    <row r="79" spans="1:7" x14ac:dyDescent="0.25">
      <c r="A79" t="s">
        <v>17</v>
      </c>
      <c r="B79" s="3" t="s">
        <v>10</v>
      </c>
      <c r="C79" t="s">
        <v>28</v>
      </c>
      <c r="D79">
        <v>0</v>
      </c>
      <c r="E79" s="3" t="s">
        <v>11</v>
      </c>
      <c r="F79" s="3" t="s">
        <v>12</v>
      </c>
      <c r="G79">
        <v>1532.47</v>
      </c>
    </row>
    <row r="80" spans="1:7" x14ac:dyDescent="0.25">
      <c r="A80" t="s">
        <v>17</v>
      </c>
      <c r="B80" s="3" t="s">
        <v>7</v>
      </c>
      <c r="C80" t="s">
        <v>28</v>
      </c>
      <c r="D80">
        <v>0</v>
      </c>
      <c r="E80" s="3" t="s">
        <v>11</v>
      </c>
      <c r="F80" s="3" t="s">
        <v>14</v>
      </c>
      <c r="G80">
        <v>2755.02</v>
      </c>
    </row>
    <row r="81" spans="1:7" x14ac:dyDescent="0.25">
      <c r="A81" t="s">
        <v>32</v>
      </c>
      <c r="B81" s="3" t="s">
        <v>7</v>
      </c>
      <c r="C81" t="s">
        <v>20</v>
      </c>
      <c r="D81">
        <v>0</v>
      </c>
      <c r="E81" s="3" t="s">
        <v>11</v>
      </c>
      <c r="F81" s="3" t="s">
        <v>13</v>
      </c>
      <c r="G81">
        <v>6571.02</v>
      </c>
    </row>
    <row r="82" spans="1:7" x14ac:dyDescent="0.25">
      <c r="A82" t="s">
        <v>22</v>
      </c>
      <c r="B82" s="3" t="s">
        <v>10</v>
      </c>
      <c r="C82" t="s">
        <v>18</v>
      </c>
      <c r="D82">
        <v>1</v>
      </c>
      <c r="E82" s="3" t="s">
        <v>11</v>
      </c>
      <c r="F82" s="3" t="s">
        <v>14</v>
      </c>
      <c r="G82">
        <v>4441.21</v>
      </c>
    </row>
    <row r="83" spans="1:7" x14ac:dyDescent="0.25">
      <c r="A83" t="s">
        <v>32</v>
      </c>
      <c r="B83" s="3" t="s">
        <v>7</v>
      </c>
      <c r="C83" t="s">
        <v>28</v>
      </c>
      <c r="D83">
        <v>0</v>
      </c>
      <c r="E83" s="3" t="s">
        <v>11</v>
      </c>
      <c r="F83" s="3" t="s">
        <v>14</v>
      </c>
      <c r="G83">
        <v>7935.29</v>
      </c>
    </row>
    <row r="84" spans="1:7" x14ac:dyDescent="0.25">
      <c r="A84" t="s">
        <v>17</v>
      </c>
      <c r="B84" s="3" t="s">
        <v>10</v>
      </c>
      <c r="C84" t="s">
        <v>28</v>
      </c>
      <c r="D84">
        <v>1</v>
      </c>
      <c r="E84" s="3" t="s">
        <v>8</v>
      </c>
      <c r="F84" s="3" t="s">
        <v>12</v>
      </c>
      <c r="G84">
        <v>37165.160000000003</v>
      </c>
    </row>
    <row r="85" spans="1:7" x14ac:dyDescent="0.25">
      <c r="A85" t="s">
        <v>24</v>
      </c>
      <c r="B85" s="3" t="s">
        <v>7</v>
      </c>
      <c r="C85" t="s">
        <v>29</v>
      </c>
      <c r="D85">
        <v>4</v>
      </c>
      <c r="E85" s="3" t="s">
        <v>11</v>
      </c>
      <c r="F85" s="3" t="s">
        <v>13</v>
      </c>
      <c r="G85">
        <v>11033.66</v>
      </c>
    </row>
    <row r="86" spans="1:7" x14ac:dyDescent="0.25">
      <c r="A86" t="s">
        <v>25</v>
      </c>
      <c r="B86" s="3" t="s">
        <v>7</v>
      </c>
      <c r="C86" t="s">
        <v>20</v>
      </c>
      <c r="D86">
        <v>2</v>
      </c>
      <c r="E86" s="3" t="s">
        <v>8</v>
      </c>
      <c r="F86" s="3" t="s">
        <v>9</v>
      </c>
      <c r="G86">
        <v>39836.519999999997</v>
      </c>
    </row>
    <row r="87" spans="1:7" x14ac:dyDescent="0.25">
      <c r="A87" t="s">
        <v>32</v>
      </c>
      <c r="B87" s="3" t="s">
        <v>10</v>
      </c>
      <c r="C87" t="s">
        <v>23</v>
      </c>
      <c r="D87">
        <v>2</v>
      </c>
      <c r="E87" s="3" t="s">
        <v>8</v>
      </c>
      <c r="F87" s="3" t="s">
        <v>13</v>
      </c>
      <c r="G87">
        <v>21098.55</v>
      </c>
    </row>
    <row r="88" spans="1:7" x14ac:dyDescent="0.25">
      <c r="A88" t="s">
        <v>26</v>
      </c>
      <c r="B88" s="3" t="s">
        <v>7</v>
      </c>
      <c r="C88" t="s">
        <v>20</v>
      </c>
      <c r="D88">
        <v>0</v>
      </c>
      <c r="E88" s="3" t="s">
        <v>8</v>
      </c>
      <c r="F88" s="3" t="s">
        <v>13</v>
      </c>
      <c r="G88">
        <v>43578.94</v>
      </c>
    </row>
    <row r="89" spans="1:7" x14ac:dyDescent="0.25">
      <c r="A89" t="s">
        <v>26</v>
      </c>
      <c r="B89" s="3" t="s">
        <v>7</v>
      </c>
      <c r="C89" t="s">
        <v>18</v>
      </c>
      <c r="D89">
        <v>0</v>
      </c>
      <c r="E89" s="3" t="s">
        <v>11</v>
      </c>
      <c r="F89" s="3" t="s">
        <v>9</v>
      </c>
      <c r="G89">
        <v>11073.18</v>
      </c>
    </row>
    <row r="90" spans="1:7" x14ac:dyDescent="0.25">
      <c r="A90" t="s">
        <v>24</v>
      </c>
      <c r="B90" s="3" t="s">
        <v>7</v>
      </c>
      <c r="C90" t="s">
        <v>18</v>
      </c>
      <c r="D90">
        <v>0</v>
      </c>
      <c r="E90" s="3" t="s">
        <v>11</v>
      </c>
      <c r="F90" s="3" t="s">
        <v>13</v>
      </c>
      <c r="G90">
        <v>8026.67</v>
      </c>
    </row>
    <row r="91" spans="1:7" x14ac:dyDescent="0.25">
      <c r="A91" t="s">
        <v>30</v>
      </c>
      <c r="B91" s="3" t="s">
        <v>7</v>
      </c>
      <c r="C91" t="s">
        <v>18</v>
      </c>
      <c r="D91">
        <v>0</v>
      </c>
      <c r="E91" s="3" t="s">
        <v>11</v>
      </c>
      <c r="F91" s="3" t="s">
        <v>13</v>
      </c>
      <c r="G91">
        <v>11082.58</v>
      </c>
    </row>
    <row r="92" spans="1:7" x14ac:dyDescent="0.25">
      <c r="A92" t="s">
        <v>17</v>
      </c>
      <c r="B92" s="3" t="s">
        <v>7</v>
      </c>
      <c r="C92" t="s">
        <v>28</v>
      </c>
      <c r="D92">
        <v>0</v>
      </c>
      <c r="E92" s="3" t="s">
        <v>11</v>
      </c>
      <c r="F92" s="3" t="s">
        <v>12</v>
      </c>
      <c r="G92">
        <v>2026.97</v>
      </c>
    </row>
    <row r="93" spans="1:7" x14ac:dyDescent="0.25">
      <c r="A93" t="s">
        <v>30</v>
      </c>
      <c r="B93" s="3" t="s">
        <v>7</v>
      </c>
      <c r="C93" t="s">
        <v>23</v>
      </c>
      <c r="D93">
        <v>1</v>
      </c>
      <c r="E93" s="3" t="s">
        <v>11</v>
      </c>
      <c r="F93" s="3" t="s">
        <v>13</v>
      </c>
      <c r="G93">
        <v>10942.13</v>
      </c>
    </row>
    <row r="94" spans="1:7" x14ac:dyDescent="0.25">
      <c r="A94" t="s">
        <v>26</v>
      </c>
      <c r="B94" s="3" t="s">
        <v>10</v>
      </c>
      <c r="C94" t="s">
        <v>18</v>
      </c>
      <c r="D94">
        <v>3</v>
      </c>
      <c r="E94" s="3" t="s">
        <v>8</v>
      </c>
      <c r="F94" s="3" t="s">
        <v>14</v>
      </c>
      <c r="G94">
        <v>30184.94</v>
      </c>
    </row>
    <row r="95" spans="1:7" x14ac:dyDescent="0.25">
      <c r="A95" t="s">
        <v>22</v>
      </c>
      <c r="B95" s="3" t="s">
        <v>10</v>
      </c>
      <c r="C95" t="s">
        <v>20</v>
      </c>
      <c r="D95">
        <v>2</v>
      </c>
      <c r="E95" s="3" t="s">
        <v>11</v>
      </c>
      <c r="F95" s="3" t="s">
        <v>13</v>
      </c>
      <c r="G95">
        <v>5729.01</v>
      </c>
    </row>
    <row r="96" spans="1:7" x14ac:dyDescent="0.25">
      <c r="A96" t="s">
        <v>27</v>
      </c>
      <c r="B96" s="3" t="s">
        <v>7</v>
      </c>
      <c r="C96" t="s">
        <v>20</v>
      </c>
      <c r="D96">
        <v>2</v>
      </c>
      <c r="E96" s="3" t="s">
        <v>8</v>
      </c>
      <c r="F96" s="3" t="s">
        <v>9</v>
      </c>
      <c r="G96">
        <v>47291.06</v>
      </c>
    </row>
    <row r="97" spans="1:7" x14ac:dyDescent="0.25">
      <c r="A97" t="s">
        <v>21</v>
      </c>
      <c r="B97" s="3" t="s">
        <v>7</v>
      </c>
      <c r="C97" t="s">
        <v>28</v>
      </c>
      <c r="D97">
        <v>1</v>
      </c>
      <c r="E97" s="3" t="s">
        <v>11</v>
      </c>
      <c r="F97" s="3" t="s">
        <v>12</v>
      </c>
      <c r="G97">
        <v>3766.88</v>
      </c>
    </row>
    <row r="98" spans="1:7" x14ac:dyDescent="0.25">
      <c r="A98" t="s">
        <v>30</v>
      </c>
      <c r="B98" s="3" t="s">
        <v>7</v>
      </c>
      <c r="C98" t="s">
        <v>20</v>
      </c>
      <c r="D98">
        <v>3</v>
      </c>
      <c r="E98" s="3" t="s">
        <v>11</v>
      </c>
      <c r="F98" s="3" t="s">
        <v>9</v>
      </c>
      <c r="G98">
        <v>12105.32</v>
      </c>
    </row>
    <row r="99" spans="1:7" x14ac:dyDescent="0.25">
      <c r="A99" t="s">
        <v>30</v>
      </c>
      <c r="B99" s="3" t="s">
        <v>10</v>
      </c>
      <c r="C99" t="s">
        <v>28</v>
      </c>
      <c r="D99">
        <v>0</v>
      </c>
      <c r="E99" s="3" t="s">
        <v>11</v>
      </c>
      <c r="F99" s="3" t="s">
        <v>12</v>
      </c>
      <c r="G99">
        <v>10226.280000000001</v>
      </c>
    </row>
    <row r="100" spans="1:7" x14ac:dyDescent="0.25">
      <c r="A100" t="s">
        <v>26</v>
      </c>
      <c r="B100" s="3" t="s">
        <v>10</v>
      </c>
      <c r="C100" t="s">
        <v>23</v>
      </c>
      <c r="D100">
        <v>0</v>
      </c>
      <c r="E100" s="3" t="s">
        <v>8</v>
      </c>
      <c r="F100" s="3" t="s">
        <v>14</v>
      </c>
      <c r="G100">
        <v>22412.65</v>
      </c>
    </row>
    <row r="101" spans="1:7" x14ac:dyDescent="0.25">
      <c r="A101" t="s">
        <v>25</v>
      </c>
      <c r="B101" s="3" t="s">
        <v>10</v>
      </c>
      <c r="C101" t="s">
        <v>23</v>
      </c>
      <c r="D101">
        <v>0</v>
      </c>
      <c r="E101" s="3" t="s">
        <v>8</v>
      </c>
      <c r="F101" s="3" t="s">
        <v>9</v>
      </c>
      <c r="G101">
        <v>15820.7</v>
      </c>
    </row>
    <row r="102" spans="1:7" x14ac:dyDescent="0.25">
      <c r="A102" t="s">
        <v>32</v>
      </c>
      <c r="B102" s="3" t="s">
        <v>7</v>
      </c>
      <c r="C102" t="s">
        <v>20</v>
      </c>
      <c r="D102">
        <v>0</v>
      </c>
      <c r="E102" s="3" t="s">
        <v>11</v>
      </c>
      <c r="F102" s="3" t="s">
        <v>9</v>
      </c>
      <c r="G102">
        <v>6186.13</v>
      </c>
    </row>
    <row r="103" spans="1:7" x14ac:dyDescent="0.25">
      <c r="A103" t="s">
        <v>21</v>
      </c>
      <c r="B103" s="3" t="s">
        <v>10</v>
      </c>
      <c r="C103" t="s">
        <v>18</v>
      </c>
      <c r="D103">
        <v>0</v>
      </c>
      <c r="E103" s="3" t="s">
        <v>11</v>
      </c>
      <c r="F103" s="3" t="s">
        <v>14</v>
      </c>
      <c r="G103">
        <v>3645.09</v>
      </c>
    </row>
    <row r="104" spans="1:7" x14ac:dyDescent="0.25">
      <c r="A104" t="s">
        <v>19</v>
      </c>
      <c r="B104" s="3" t="s">
        <v>7</v>
      </c>
      <c r="C104" t="s">
        <v>20</v>
      </c>
      <c r="D104">
        <v>0</v>
      </c>
      <c r="E104" s="3" t="s">
        <v>11</v>
      </c>
      <c r="F104" s="3" t="s">
        <v>14</v>
      </c>
      <c r="G104">
        <v>21344.85</v>
      </c>
    </row>
    <row r="105" spans="1:7" x14ac:dyDescent="0.25">
      <c r="A105" t="s">
        <v>27</v>
      </c>
      <c r="B105" s="3" t="s">
        <v>7</v>
      </c>
      <c r="C105" t="s">
        <v>20</v>
      </c>
      <c r="D105">
        <v>3</v>
      </c>
      <c r="E105" s="3" t="s">
        <v>8</v>
      </c>
      <c r="F105" s="3" t="s">
        <v>12</v>
      </c>
      <c r="G105">
        <v>30942.19</v>
      </c>
    </row>
    <row r="106" spans="1:7" x14ac:dyDescent="0.25">
      <c r="A106" t="s">
        <v>22</v>
      </c>
      <c r="B106" s="3" t="s">
        <v>7</v>
      </c>
      <c r="C106" t="s">
        <v>18</v>
      </c>
      <c r="D106">
        <v>1</v>
      </c>
      <c r="E106" s="3" t="s">
        <v>11</v>
      </c>
      <c r="F106" s="3" t="s">
        <v>9</v>
      </c>
      <c r="G106">
        <v>5003.8500000000004</v>
      </c>
    </row>
    <row r="107" spans="1:7" x14ac:dyDescent="0.25">
      <c r="A107" t="s">
        <v>17</v>
      </c>
      <c r="B107" s="3" t="s">
        <v>10</v>
      </c>
      <c r="C107" t="s">
        <v>18</v>
      </c>
      <c r="D107">
        <v>1</v>
      </c>
      <c r="E107" s="3" t="s">
        <v>8</v>
      </c>
      <c r="F107" s="3" t="s">
        <v>13</v>
      </c>
      <c r="G107">
        <v>17560.38</v>
      </c>
    </row>
    <row r="108" spans="1:7" x14ac:dyDescent="0.25">
      <c r="A108" t="s">
        <v>17</v>
      </c>
      <c r="B108" s="3" t="s">
        <v>7</v>
      </c>
      <c r="C108" t="s">
        <v>18</v>
      </c>
      <c r="D108">
        <v>1</v>
      </c>
      <c r="E108" s="3" t="s">
        <v>11</v>
      </c>
      <c r="F108" s="3" t="s">
        <v>9</v>
      </c>
      <c r="G108">
        <v>2331.52</v>
      </c>
    </row>
    <row r="109" spans="1:7" x14ac:dyDescent="0.25">
      <c r="A109" t="s">
        <v>21</v>
      </c>
      <c r="B109" s="3" t="s">
        <v>10</v>
      </c>
      <c r="C109" t="s">
        <v>20</v>
      </c>
      <c r="D109">
        <v>2</v>
      </c>
      <c r="E109" s="3" t="s">
        <v>11</v>
      </c>
      <c r="F109" s="3" t="s">
        <v>13</v>
      </c>
      <c r="G109">
        <v>3877.3</v>
      </c>
    </row>
    <row r="110" spans="1:7" x14ac:dyDescent="0.25">
      <c r="A110" t="s">
        <v>21</v>
      </c>
      <c r="B110" s="3" t="s">
        <v>10</v>
      </c>
      <c r="C110" t="s">
        <v>18</v>
      </c>
      <c r="D110">
        <v>0</v>
      </c>
      <c r="E110" s="3" t="s">
        <v>11</v>
      </c>
      <c r="F110" s="3" t="s">
        <v>12</v>
      </c>
      <c r="G110">
        <v>2867.12</v>
      </c>
    </row>
    <row r="111" spans="1:7" x14ac:dyDescent="0.25">
      <c r="A111" t="s">
        <v>27</v>
      </c>
      <c r="B111" s="3" t="s">
        <v>10</v>
      </c>
      <c r="C111" t="s">
        <v>28</v>
      </c>
      <c r="D111">
        <v>0</v>
      </c>
      <c r="E111" s="3" t="s">
        <v>8</v>
      </c>
      <c r="F111" s="3" t="s">
        <v>12</v>
      </c>
      <c r="G111">
        <v>47055.53</v>
      </c>
    </row>
    <row r="112" spans="1:7" x14ac:dyDescent="0.25">
      <c r="A112" t="s">
        <v>30</v>
      </c>
      <c r="B112" s="3" t="s">
        <v>10</v>
      </c>
      <c r="C112" t="s">
        <v>20</v>
      </c>
      <c r="D112">
        <v>1</v>
      </c>
      <c r="E112" s="3" t="s">
        <v>11</v>
      </c>
      <c r="F112" s="3" t="s">
        <v>13</v>
      </c>
      <c r="G112">
        <v>10825.25</v>
      </c>
    </row>
    <row r="113" spans="1:7" x14ac:dyDescent="0.25">
      <c r="A113" t="s">
        <v>30</v>
      </c>
      <c r="B113" s="3" t="s">
        <v>7</v>
      </c>
      <c r="C113" t="s">
        <v>18</v>
      </c>
      <c r="D113">
        <v>2</v>
      </c>
      <c r="E113" s="3" t="s">
        <v>11</v>
      </c>
      <c r="F113" s="3" t="s">
        <v>9</v>
      </c>
      <c r="G113">
        <v>11881.36</v>
      </c>
    </row>
    <row r="114" spans="1:7" x14ac:dyDescent="0.25">
      <c r="A114" t="s">
        <v>25</v>
      </c>
      <c r="B114" s="3" t="s">
        <v>10</v>
      </c>
      <c r="C114" t="s">
        <v>20</v>
      </c>
      <c r="D114">
        <v>0</v>
      </c>
      <c r="E114" s="3" t="s">
        <v>11</v>
      </c>
      <c r="F114" s="3" t="s">
        <v>9</v>
      </c>
      <c r="G114">
        <v>4646.76</v>
      </c>
    </row>
    <row r="115" spans="1:7" x14ac:dyDescent="0.25">
      <c r="A115" t="s">
        <v>17</v>
      </c>
      <c r="B115" s="3" t="s">
        <v>7</v>
      </c>
      <c r="C115" t="s">
        <v>28</v>
      </c>
      <c r="D115">
        <v>0</v>
      </c>
      <c r="E115" s="3" t="s">
        <v>11</v>
      </c>
      <c r="F115" s="3" t="s">
        <v>13</v>
      </c>
      <c r="G115">
        <v>2404.73</v>
      </c>
    </row>
    <row r="116" spans="1:7" x14ac:dyDescent="0.25">
      <c r="A116" t="s">
        <v>30</v>
      </c>
      <c r="B116" s="3" t="s">
        <v>10</v>
      </c>
      <c r="C116" t="s">
        <v>20</v>
      </c>
      <c r="D116">
        <v>3</v>
      </c>
      <c r="E116" s="3" t="s">
        <v>11</v>
      </c>
      <c r="F116" s="3" t="s">
        <v>14</v>
      </c>
      <c r="G116">
        <v>11488.32</v>
      </c>
    </row>
    <row r="117" spans="1:7" x14ac:dyDescent="0.25">
      <c r="A117" t="s">
        <v>26</v>
      </c>
      <c r="B117" s="3" t="s">
        <v>10</v>
      </c>
      <c r="C117" t="s">
        <v>18</v>
      </c>
      <c r="D117">
        <v>0</v>
      </c>
      <c r="E117" s="3" t="s">
        <v>11</v>
      </c>
      <c r="F117" s="3" t="s">
        <v>14</v>
      </c>
      <c r="G117">
        <v>30260</v>
      </c>
    </row>
    <row r="118" spans="1:7" x14ac:dyDescent="0.25">
      <c r="A118" t="s">
        <v>26</v>
      </c>
      <c r="B118" s="3" t="s">
        <v>10</v>
      </c>
      <c r="C118" t="s">
        <v>29</v>
      </c>
      <c r="D118">
        <v>0</v>
      </c>
      <c r="E118" s="3" t="s">
        <v>11</v>
      </c>
      <c r="F118" s="3" t="s">
        <v>12</v>
      </c>
      <c r="G118">
        <v>11381.33</v>
      </c>
    </row>
    <row r="119" spans="1:7" x14ac:dyDescent="0.25">
      <c r="A119" t="s">
        <v>21</v>
      </c>
      <c r="B119" s="3" t="s">
        <v>7</v>
      </c>
      <c r="C119" t="s">
        <v>18</v>
      </c>
      <c r="D119">
        <v>1</v>
      </c>
      <c r="E119" s="3" t="s">
        <v>8</v>
      </c>
      <c r="F119" s="3" t="s">
        <v>12</v>
      </c>
      <c r="G119">
        <v>19107.78</v>
      </c>
    </row>
    <row r="120" spans="1:7" x14ac:dyDescent="0.25">
      <c r="A120" t="s">
        <v>24</v>
      </c>
      <c r="B120" s="3" t="s">
        <v>7</v>
      </c>
      <c r="C120" t="s">
        <v>18</v>
      </c>
      <c r="D120">
        <v>0</v>
      </c>
      <c r="E120" s="3" t="s">
        <v>11</v>
      </c>
      <c r="F120" s="3" t="s">
        <v>12</v>
      </c>
      <c r="G120">
        <v>8601.33</v>
      </c>
    </row>
    <row r="121" spans="1:7" x14ac:dyDescent="0.25">
      <c r="A121" t="s">
        <v>25</v>
      </c>
      <c r="B121" s="3" t="s">
        <v>7</v>
      </c>
      <c r="C121" t="s">
        <v>23</v>
      </c>
      <c r="D121">
        <v>2</v>
      </c>
      <c r="E121" s="3" t="s">
        <v>11</v>
      </c>
      <c r="F121" s="3" t="s">
        <v>13</v>
      </c>
      <c r="G121">
        <v>6686.43</v>
      </c>
    </row>
    <row r="122" spans="1:7" x14ac:dyDescent="0.25">
      <c r="A122" t="s">
        <v>32</v>
      </c>
      <c r="B122" s="3" t="s">
        <v>10</v>
      </c>
      <c r="C122" t="s">
        <v>28</v>
      </c>
      <c r="D122">
        <v>2</v>
      </c>
      <c r="E122" s="3" t="s">
        <v>11</v>
      </c>
      <c r="F122" s="3" t="s">
        <v>9</v>
      </c>
      <c r="G122">
        <v>7740.34</v>
      </c>
    </row>
    <row r="123" spans="1:7" x14ac:dyDescent="0.25">
      <c r="A123" t="s">
        <v>19</v>
      </c>
      <c r="B123" s="3" t="s">
        <v>10</v>
      </c>
      <c r="C123" t="s">
        <v>23</v>
      </c>
      <c r="D123">
        <v>0</v>
      </c>
      <c r="E123" s="3" t="s">
        <v>11</v>
      </c>
      <c r="F123" s="3" t="s">
        <v>14</v>
      </c>
      <c r="G123">
        <v>1705.62</v>
      </c>
    </row>
    <row r="124" spans="1:7" x14ac:dyDescent="0.25">
      <c r="A124" t="s">
        <v>17</v>
      </c>
      <c r="B124" s="3" t="s">
        <v>7</v>
      </c>
      <c r="C124" t="s">
        <v>18</v>
      </c>
      <c r="D124">
        <v>0</v>
      </c>
      <c r="E124" s="3" t="s">
        <v>11</v>
      </c>
      <c r="F124" s="3" t="s">
        <v>13</v>
      </c>
      <c r="G124">
        <v>2257.48</v>
      </c>
    </row>
    <row r="125" spans="1:7" x14ac:dyDescent="0.25">
      <c r="A125" t="s">
        <v>32</v>
      </c>
      <c r="B125" s="3" t="s">
        <v>10</v>
      </c>
      <c r="C125" t="s">
        <v>20</v>
      </c>
      <c r="D125">
        <v>1</v>
      </c>
      <c r="E125" s="3" t="s">
        <v>8</v>
      </c>
      <c r="F125" s="3" t="s">
        <v>14</v>
      </c>
      <c r="G125">
        <v>39556.49</v>
      </c>
    </row>
    <row r="126" spans="1:7" x14ac:dyDescent="0.25">
      <c r="A126" t="s">
        <v>24</v>
      </c>
      <c r="B126" s="3" t="s">
        <v>7</v>
      </c>
      <c r="C126" t="s">
        <v>20</v>
      </c>
      <c r="D126">
        <v>3</v>
      </c>
      <c r="E126" s="3" t="s">
        <v>11</v>
      </c>
      <c r="F126" s="3" t="s">
        <v>13</v>
      </c>
      <c r="G126">
        <v>10115.01</v>
      </c>
    </row>
    <row r="127" spans="1:7" x14ac:dyDescent="0.25">
      <c r="A127" t="s">
        <v>21</v>
      </c>
      <c r="B127" s="3" t="s">
        <v>7</v>
      </c>
      <c r="C127" t="s">
        <v>18</v>
      </c>
      <c r="D127">
        <v>0</v>
      </c>
      <c r="E127" s="3" t="s">
        <v>11</v>
      </c>
      <c r="F127" s="3" t="s">
        <v>14</v>
      </c>
      <c r="G127">
        <v>3385.4</v>
      </c>
    </row>
    <row r="128" spans="1:7" x14ac:dyDescent="0.25">
      <c r="A128" t="s">
        <v>17</v>
      </c>
      <c r="B128" s="3" t="s">
        <v>7</v>
      </c>
      <c r="C128" t="s">
        <v>18</v>
      </c>
      <c r="D128">
        <v>0</v>
      </c>
      <c r="E128" s="3" t="s">
        <v>8</v>
      </c>
      <c r="F128" s="3" t="s">
        <v>9</v>
      </c>
      <c r="G128">
        <v>17081.080000000002</v>
      </c>
    </row>
    <row r="129" spans="1:7" x14ac:dyDescent="0.25">
      <c r="A129" t="s">
        <v>30</v>
      </c>
      <c r="B129" s="3" t="s">
        <v>7</v>
      </c>
      <c r="C129" t="s">
        <v>28</v>
      </c>
      <c r="D129">
        <v>0</v>
      </c>
      <c r="E129" s="3" t="s">
        <v>11</v>
      </c>
      <c r="F129" s="3" t="s">
        <v>9</v>
      </c>
      <c r="G129">
        <v>9634.5400000000009</v>
      </c>
    </row>
    <row r="130" spans="1:7" x14ac:dyDescent="0.25">
      <c r="A130" t="s">
        <v>22</v>
      </c>
      <c r="B130" s="3" t="s">
        <v>7</v>
      </c>
      <c r="C130" t="s">
        <v>31</v>
      </c>
      <c r="D130">
        <v>2</v>
      </c>
      <c r="E130" s="3" t="s">
        <v>8</v>
      </c>
      <c r="F130" s="3" t="s">
        <v>13</v>
      </c>
      <c r="G130">
        <v>32734.19</v>
      </c>
    </row>
    <row r="131" spans="1:7" x14ac:dyDescent="0.25">
      <c r="A131" t="s">
        <v>25</v>
      </c>
      <c r="B131" s="3" t="s">
        <v>10</v>
      </c>
      <c r="C131" t="s">
        <v>20</v>
      </c>
      <c r="D131">
        <v>2</v>
      </c>
      <c r="E131" s="3" t="s">
        <v>11</v>
      </c>
      <c r="F131" s="3" t="s">
        <v>9</v>
      </c>
      <c r="G131">
        <v>6082.4</v>
      </c>
    </row>
    <row r="132" spans="1:7" x14ac:dyDescent="0.25">
      <c r="A132" t="s">
        <v>26</v>
      </c>
      <c r="B132" s="3" t="s">
        <v>7</v>
      </c>
      <c r="C132" t="s">
        <v>18</v>
      </c>
      <c r="D132">
        <v>0</v>
      </c>
      <c r="E132" s="3" t="s">
        <v>11</v>
      </c>
      <c r="F132" s="3" t="s">
        <v>14</v>
      </c>
      <c r="G132">
        <v>12815.44</v>
      </c>
    </row>
    <row r="133" spans="1:7" x14ac:dyDescent="0.25">
      <c r="A133" t="s">
        <v>27</v>
      </c>
      <c r="B133" s="3" t="s">
        <v>7</v>
      </c>
      <c r="C133" t="s">
        <v>23</v>
      </c>
      <c r="D133">
        <v>0</v>
      </c>
      <c r="E133" s="3" t="s">
        <v>11</v>
      </c>
      <c r="F133" s="3" t="s">
        <v>14</v>
      </c>
      <c r="G133">
        <v>13616.36</v>
      </c>
    </row>
    <row r="134" spans="1:7" x14ac:dyDescent="0.25">
      <c r="A134" t="s">
        <v>30</v>
      </c>
      <c r="B134" s="3" t="s">
        <v>7</v>
      </c>
      <c r="C134" t="s">
        <v>28</v>
      </c>
      <c r="D134">
        <v>2</v>
      </c>
      <c r="E134" s="3" t="s">
        <v>11</v>
      </c>
      <c r="F134" s="3" t="s">
        <v>9</v>
      </c>
      <c r="G134">
        <v>11163.57</v>
      </c>
    </row>
    <row r="135" spans="1:7" x14ac:dyDescent="0.25">
      <c r="A135" t="s">
        <v>17</v>
      </c>
      <c r="B135" s="3" t="s">
        <v>10</v>
      </c>
      <c r="C135" t="s">
        <v>18</v>
      </c>
      <c r="D135">
        <v>0</v>
      </c>
      <c r="E135" s="3" t="s">
        <v>11</v>
      </c>
      <c r="F135" s="3" t="s">
        <v>13</v>
      </c>
      <c r="G135">
        <v>1632.56</v>
      </c>
    </row>
    <row r="136" spans="1:7" x14ac:dyDescent="0.25">
      <c r="A136" t="s">
        <v>17</v>
      </c>
      <c r="B136" s="3" t="s">
        <v>7</v>
      </c>
      <c r="C136" t="s">
        <v>18</v>
      </c>
      <c r="D136">
        <v>0</v>
      </c>
      <c r="E136" s="3" t="s">
        <v>11</v>
      </c>
      <c r="F136" s="3" t="s">
        <v>14</v>
      </c>
      <c r="G136">
        <v>2457.21</v>
      </c>
    </row>
    <row r="137" spans="1:7" x14ac:dyDescent="0.25">
      <c r="A137" t="s">
        <v>17</v>
      </c>
      <c r="B137" s="3" t="s">
        <v>7</v>
      </c>
      <c r="C137" t="s">
        <v>18</v>
      </c>
      <c r="D137">
        <v>0</v>
      </c>
      <c r="E137" s="3" t="s">
        <v>11</v>
      </c>
      <c r="F137" s="3" t="s">
        <v>12</v>
      </c>
      <c r="G137">
        <v>2155.6799999999998</v>
      </c>
    </row>
    <row r="138" spans="1:7" x14ac:dyDescent="0.25">
      <c r="A138" t="s">
        <v>17</v>
      </c>
      <c r="B138" s="3" t="s">
        <v>10</v>
      </c>
      <c r="C138" t="s">
        <v>20</v>
      </c>
      <c r="D138">
        <v>0</v>
      </c>
      <c r="E138" s="3" t="s">
        <v>11</v>
      </c>
      <c r="F138" s="3" t="s">
        <v>9</v>
      </c>
      <c r="G138">
        <v>1261.44</v>
      </c>
    </row>
    <row r="139" spans="1:7" x14ac:dyDescent="0.25">
      <c r="A139" t="s">
        <v>17</v>
      </c>
      <c r="B139" s="3" t="s">
        <v>10</v>
      </c>
      <c r="C139" t="s">
        <v>18</v>
      </c>
      <c r="D139">
        <v>0</v>
      </c>
      <c r="E139" s="3" t="s">
        <v>11</v>
      </c>
      <c r="F139" s="3" t="s">
        <v>13</v>
      </c>
      <c r="G139">
        <v>2045.69</v>
      </c>
    </row>
    <row r="140" spans="1:7" x14ac:dyDescent="0.25">
      <c r="A140" t="s">
        <v>30</v>
      </c>
      <c r="B140" s="3" t="s">
        <v>7</v>
      </c>
      <c r="C140" t="s">
        <v>20</v>
      </c>
      <c r="D140">
        <v>3</v>
      </c>
      <c r="E140" s="3" t="s">
        <v>11</v>
      </c>
      <c r="F140" s="3" t="s">
        <v>12</v>
      </c>
      <c r="G140">
        <v>27322.73</v>
      </c>
    </row>
    <row r="141" spans="1:7" x14ac:dyDescent="0.25">
      <c r="A141" t="s">
        <v>17</v>
      </c>
      <c r="B141" s="3" t="s">
        <v>7</v>
      </c>
      <c r="C141" t="s">
        <v>28</v>
      </c>
      <c r="D141">
        <v>0</v>
      </c>
      <c r="E141" s="3" t="s">
        <v>11</v>
      </c>
      <c r="F141" s="3" t="s">
        <v>9</v>
      </c>
      <c r="G141">
        <v>2166.73</v>
      </c>
    </row>
    <row r="142" spans="1:7" x14ac:dyDescent="0.25">
      <c r="A142" t="s">
        <v>22</v>
      </c>
      <c r="B142" s="3" t="s">
        <v>10</v>
      </c>
      <c r="C142" t="s">
        <v>23</v>
      </c>
      <c r="D142">
        <v>2</v>
      </c>
      <c r="E142" s="3" t="s">
        <v>11</v>
      </c>
      <c r="F142" s="3" t="s">
        <v>14</v>
      </c>
      <c r="G142">
        <v>27375.9</v>
      </c>
    </row>
    <row r="143" spans="1:7" x14ac:dyDescent="0.25">
      <c r="A143" t="s">
        <v>21</v>
      </c>
      <c r="B143" s="3" t="s">
        <v>10</v>
      </c>
      <c r="C143" t="s">
        <v>20</v>
      </c>
      <c r="D143">
        <v>1</v>
      </c>
      <c r="E143" s="3" t="s">
        <v>11</v>
      </c>
      <c r="F143" s="3" t="s">
        <v>14</v>
      </c>
      <c r="G143">
        <v>3490.55</v>
      </c>
    </row>
    <row r="144" spans="1:7" x14ac:dyDescent="0.25">
      <c r="A144" t="s">
        <v>22</v>
      </c>
      <c r="B144" s="3" t="s">
        <v>10</v>
      </c>
      <c r="C144" t="s">
        <v>18</v>
      </c>
      <c r="D144">
        <v>2</v>
      </c>
      <c r="E144" s="3" t="s">
        <v>8</v>
      </c>
      <c r="F144" s="3" t="s">
        <v>12</v>
      </c>
      <c r="G144">
        <v>18972.5</v>
      </c>
    </row>
    <row r="145" spans="1:7" x14ac:dyDescent="0.25">
      <c r="A145" t="s">
        <v>21</v>
      </c>
      <c r="B145" s="3" t="s">
        <v>10</v>
      </c>
      <c r="C145" t="s">
        <v>18</v>
      </c>
      <c r="D145">
        <v>2</v>
      </c>
      <c r="E145" s="3" t="s">
        <v>11</v>
      </c>
      <c r="F145" s="3" t="s">
        <v>13</v>
      </c>
      <c r="G145">
        <v>18157.88</v>
      </c>
    </row>
    <row r="146" spans="1:7" x14ac:dyDescent="0.25">
      <c r="A146" t="s">
        <v>21</v>
      </c>
      <c r="B146" s="3" t="s">
        <v>10</v>
      </c>
      <c r="C146" t="s">
        <v>18</v>
      </c>
      <c r="D146">
        <v>3</v>
      </c>
      <c r="E146" s="3" t="s">
        <v>8</v>
      </c>
      <c r="F146" s="3" t="s">
        <v>13</v>
      </c>
      <c r="G146">
        <v>20745.990000000002</v>
      </c>
    </row>
    <row r="147" spans="1:7" x14ac:dyDescent="0.25">
      <c r="A147" t="s">
        <v>21</v>
      </c>
      <c r="B147" s="3" t="s">
        <v>7</v>
      </c>
      <c r="C147" t="s">
        <v>28</v>
      </c>
      <c r="D147">
        <v>3</v>
      </c>
      <c r="E147" s="3" t="s">
        <v>11</v>
      </c>
      <c r="F147" s="3" t="s">
        <v>12</v>
      </c>
      <c r="G147">
        <v>5138.26</v>
      </c>
    </row>
    <row r="148" spans="1:7" x14ac:dyDescent="0.25">
      <c r="A148" t="s">
        <v>24</v>
      </c>
      <c r="B148" s="3" t="s">
        <v>10</v>
      </c>
      <c r="C148" t="s">
        <v>20</v>
      </c>
      <c r="D148">
        <v>3</v>
      </c>
      <c r="E148" s="3" t="s">
        <v>8</v>
      </c>
      <c r="F148" s="3" t="s">
        <v>13</v>
      </c>
      <c r="G148">
        <v>40720.550000000003</v>
      </c>
    </row>
    <row r="149" spans="1:7" x14ac:dyDescent="0.25">
      <c r="A149" t="s">
        <v>30</v>
      </c>
      <c r="B149" s="3" t="s">
        <v>7</v>
      </c>
      <c r="C149" t="s">
        <v>28</v>
      </c>
      <c r="D149">
        <v>1</v>
      </c>
      <c r="E149" s="3" t="s">
        <v>11</v>
      </c>
      <c r="F149" s="3" t="s">
        <v>12</v>
      </c>
      <c r="G149">
        <v>9877.61</v>
      </c>
    </row>
    <row r="150" spans="1:7" x14ac:dyDescent="0.25">
      <c r="A150" t="s">
        <v>30</v>
      </c>
      <c r="B150" s="3" t="s">
        <v>7</v>
      </c>
      <c r="C150" t="s">
        <v>28</v>
      </c>
      <c r="D150">
        <v>1</v>
      </c>
      <c r="E150" s="3" t="s">
        <v>11</v>
      </c>
      <c r="F150" s="3" t="s">
        <v>13</v>
      </c>
      <c r="G150">
        <v>10959.69</v>
      </c>
    </row>
    <row r="151" spans="1:7" x14ac:dyDescent="0.25">
      <c r="A151" t="s">
        <v>17</v>
      </c>
      <c r="B151" s="3" t="s">
        <v>10</v>
      </c>
      <c r="C151" t="s">
        <v>18</v>
      </c>
      <c r="D151">
        <v>1</v>
      </c>
      <c r="E151" s="3" t="s">
        <v>11</v>
      </c>
      <c r="F151" s="3" t="s">
        <v>9</v>
      </c>
      <c r="G151">
        <v>1842.52</v>
      </c>
    </row>
    <row r="152" spans="1:7" x14ac:dyDescent="0.25">
      <c r="A152" t="s">
        <v>22</v>
      </c>
      <c r="B152" s="3" t="s">
        <v>10</v>
      </c>
      <c r="C152" t="s">
        <v>23</v>
      </c>
      <c r="D152">
        <v>1</v>
      </c>
      <c r="E152" s="3" t="s">
        <v>11</v>
      </c>
      <c r="F152" s="3" t="s">
        <v>13</v>
      </c>
      <c r="G152">
        <v>5125.22</v>
      </c>
    </row>
    <row r="153" spans="1:7" x14ac:dyDescent="0.25">
      <c r="A153" t="s">
        <v>24</v>
      </c>
      <c r="B153" s="3" t="s">
        <v>10</v>
      </c>
      <c r="C153" t="s">
        <v>18</v>
      </c>
      <c r="D153">
        <v>0</v>
      </c>
      <c r="E153" s="3" t="s">
        <v>11</v>
      </c>
      <c r="F153" s="3" t="s">
        <v>12</v>
      </c>
      <c r="G153">
        <v>7789.64</v>
      </c>
    </row>
    <row r="154" spans="1:7" x14ac:dyDescent="0.25">
      <c r="A154" t="s">
        <v>22</v>
      </c>
      <c r="B154" s="3" t="s">
        <v>7</v>
      </c>
      <c r="C154" t="s">
        <v>28</v>
      </c>
      <c r="D154">
        <v>3</v>
      </c>
      <c r="E154" s="3" t="s">
        <v>11</v>
      </c>
      <c r="F154" s="3" t="s">
        <v>14</v>
      </c>
      <c r="G154">
        <v>6334.34</v>
      </c>
    </row>
    <row r="155" spans="1:7" x14ac:dyDescent="0.25">
      <c r="A155" t="s">
        <v>32</v>
      </c>
      <c r="B155" s="3" t="s">
        <v>7</v>
      </c>
      <c r="C155" t="s">
        <v>23</v>
      </c>
      <c r="D155">
        <v>0</v>
      </c>
      <c r="E155" s="3" t="s">
        <v>8</v>
      </c>
      <c r="F155" s="3" t="s">
        <v>14</v>
      </c>
      <c r="G155">
        <v>19964.75</v>
      </c>
    </row>
    <row r="156" spans="1:7" x14ac:dyDescent="0.25">
      <c r="A156" t="s">
        <v>25</v>
      </c>
      <c r="B156" s="3" t="s">
        <v>7</v>
      </c>
      <c r="C156" t="s">
        <v>18</v>
      </c>
      <c r="D156">
        <v>1</v>
      </c>
      <c r="E156" s="3" t="s">
        <v>11</v>
      </c>
      <c r="F156" s="3" t="s">
        <v>14</v>
      </c>
      <c r="G156">
        <v>7077.19</v>
      </c>
    </row>
    <row r="157" spans="1:7" x14ac:dyDescent="0.25">
      <c r="A157" t="s">
        <v>32</v>
      </c>
      <c r="B157" s="3" t="s">
        <v>10</v>
      </c>
      <c r="C157" t="s">
        <v>28</v>
      </c>
      <c r="D157">
        <v>0</v>
      </c>
      <c r="E157" s="3" t="s">
        <v>11</v>
      </c>
      <c r="F157" s="3" t="s">
        <v>13</v>
      </c>
      <c r="G157">
        <v>6948.7</v>
      </c>
    </row>
    <row r="158" spans="1:7" x14ac:dyDescent="0.25">
      <c r="A158" t="s">
        <v>24</v>
      </c>
      <c r="B158" s="3" t="s">
        <v>10</v>
      </c>
      <c r="C158" t="s">
        <v>23</v>
      </c>
      <c r="D158">
        <v>0</v>
      </c>
      <c r="E158" s="3" t="s">
        <v>8</v>
      </c>
      <c r="F158" s="3" t="s">
        <v>12</v>
      </c>
      <c r="G158">
        <v>21223.68</v>
      </c>
    </row>
    <row r="159" spans="1:7" x14ac:dyDescent="0.25">
      <c r="A159" t="s">
        <v>19</v>
      </c>
      <c r="B159" s="3" t="s">
        <v>10</v>
      </c>
      <c r="C159" t="s">
        <v>18</v>
      </c>
      <c r="D159">
        <v>0</v>
      </c>
      <c r="E159" s="3" t="s">
        <v>8</v>
      </c>
      <c r="F159" s="3" t="s">
        <v>14</v>
      </c>
      <c r="G159">
        <v>15518.18</v>
      </c>
    </row>
    <row r="160" spans="1:7" x14ac:dyDescent="0.25">
      <c r="A160" t="s">
        <v>21</v>
      </c>
      <c r="B160" s="3" t="s">
        <v>10</v>
      </c>
      <c r="C160" t="s">
        <v>28</v>
      </c>
      <c r="D160">
        <v>0</v>
      </c>
      <c r="E160" s="3" t="s">
        <v>8</v>
      </c>
      <c r="F160" s="3" t="s">
        <v>12</v>
      </c>
      <c r="G160">
        <v>36950.26</v>
      </c>
    </row>
    <row r="161" spans="1:7" x14ac:dyDescent="0.25">
      <c r="A161" t="s">
        <v>24</v>
      </c>
      <c r="B161" s="3" t="s">
        <v>7</v>
      </c>
      <c r="C161" t="s">
        <v>18</v>
      </c>
      <c r="D161">
        <v>3</v>
      </c>
      <c r="E161" s="3" t="s">
        <v>11</v>
      </c>
      <c r="F161" s="3" t="s">
        <v>12</v>
      </c>
      <c r="G161">
        <v>19749.38</v>
      </c>
    </row>
    <row r="162" spans="1:7" x14ac:dyDescent="0.25">
      <c r="A162" t="s">
        <v>32</v>
      </c>
      <c r="B162" s="3" t="s">
        <v>7</v>
      </c>
      <c r="C162" t="s">
        <v>18</v>
      </c>
      <c r="D162">
        <v>0</v>
      </c>
      <c r="E162" s="3" t="s">
        <v>8</v>
      </c>
      <c r="F162" s="3" t="s">
        <v>13</v>
      </c>
      <c r="G162">
        <v>21348.71</v>
      </c>
    </row>
    <row r="163" spans="1:7" x14ac:dyDescent="0.25">
      <c r="A163" t="s">
        <v>19</v>
      </c>
      <c r="B163" s="3" t="s">
        <v>7</v>
      </c>
      <c r="C163" t="s">
        <v>28</v>
      </c>
      <c r="D163">
        <v>0</v>
      </c>
      <c r="E163" s="3" t="s">
        <v>8</v>
      </c>
      <c r="F163" s="3" t="s">
        <v>12</v>
      </c>
      <c r="G163">
        <v>36149.480000000003</v>
      </c>
    </row>
    <row r="164" spans="1:7" x14ac:dyDescent="0.25">
      <c r="A164" t="s">
        <v>30</v>
      </c>
      <c r="B164" s="3" t="s">
        <v>10</v>
      </c>
      <c r="C164" t="s">
        <v>28</v>
      </c>
      <c r="D164">
        <v>1</v>
      </c>
      <c r="E164" s="3" t="s">
        <v>11</v>
      </c>
      <c r="F164" s="3" t="s">
        <v>9</v>
      </c>
      <c r="G164">
        <v>10450.549999999999</v>
      </c>
    </row>
    <row r="165" spans="1:7" x14ac:dyDescent="0.25">
      <c r="A165" t="s">
        <v>22</v>
      </c>
      <c r="B165" s="3" t="s">
        <v>7</v>
      </c>
      <c r="C165" t="s">
        <v>18</v>
      </c>
      <c r="D165">
        <v>2</v>
      </c>
      <c r="E165" s="3" t="s">
        <v>11</v>
      </c>
      <c r="F165" s="3" t="s">
        <v>9</v>
      </c>
      <c r="G165">
        <v>5152.13</v>
      </c>
    </row>
    <row r="166" spans="1:7" x14ac:dyDescent="0.25">
      <c r="A166" t="s">
        <v>25</v>
      </c>
      <c r="B166" s="3" t="s">
        <v>10</v>
      </c>
      <c r="C166" t="s">
        <v>18</v>
      </c>
      <c r="D166">
        <v>0</v>
      </c>
      <c r="E166" s="3" t="s">
        <v>11</v>
      </c>
      <c r="F166" s="3" t="s">
        <v>13</v>
      </c>
      <c r="G166">
        <v>5028.1499999999996</v>
      </c>
    </row>
    <row r="167" spans="1:7" x14ac:dyDescent="0.25">
      <c r="A167" t="s">
        <v>24</v>
      </c>
      <c r="B167" s="3" t="s">
        <v>10</v>
      </c>
      <c r="C167" t="s">
        <v>18</v>
      </c>
      <c r="D167">
        <v>4</v>
      </c>
      <c r="E167" s="3" t="s">
        <v>11</v>
      </c>
      <c r="F167" s="3" t="s">
        <v>14</v>
      </c>
      <c r="G167">
        <v>10407.09</v>
      </c>
    </row>
    <row r="168" spans="1:7" x14ac:dyDescent="0.25">
      <c r="A168" t="s">
        <v>17</v>
      </c>
      <c r="B168" s="3" t="s">
        <v>7</v>
      </c>
      <c r="C168" t="s">
        <v>28</v>
      </c>
      <c r="D168">
        <v>5</v>
      </c>
      <c r="E168" s="3" t="s">
        <v>11</v>
      </c>
      <c r="F168" s="3" t="s">
        <v>9</v>
      </c>
      <c r="G168">
        <v>4830.63</v>
      </c>
    </row>
    <row r="169" spans="1:7" x14ac:dyDescent="0.25">
      <c r="A169" t="s">
        <v>22</v>
      </c>
      <c r="B169" s="3" t="s">
        <v>7</v>
      </c>
      <c r="C169" t="s">
        <v>20</v>
      </c>
      <c r="D169">
        <v>3</v>
      </c>
      <c r="E169" s="3" t="s">
        <v>11</v>
      </c>
      <c r="F169" s="3" t="s">
        <v>13</v>
      </c>
      <c r="G169">
        <v>6128.8</v>
      </c>
    </row>
    <row r="170" spans="1:7" x14ac:dyDescent="0.25">
      <c r="A170" t="s">
        <v>17</v>
      </c>
      <c r="B170" s="3" t="s">
        <v>7</v>
      </c>
      <c r="C170" t="s">
        <v>20</v>
      </c>
      <c r="D170">
        <v>1</v>
      </c>
      <c r="E170" s="3" t="s">
        <v>11</v>
      </c>
      <c r="F170" s="3" t="s">
        <v>13</v>
      </c>
      <c r="G170">
        <v>2719.28</v>
      </c>
    </row>
    <row r="171" spans="1:7" x14ac:dyDescent="0.25">
      <c r="A171" t="s">
        <v>21</v>
      </c>
      <c r="B171" s="3" t="s">
        <v>10</v>
      </c>
      <c r="C171" t="s">
        <v>23</v>
      </c>
      <c r="D171">
        <v>3</v>
      </c>
      <c r="E171" s="3" t="s">
        <v>11</v>
      </c>
      <c r="F171" s="3" t="s">
        <v>14</v>
      </c>
      <c r="G171">
        <v>4827.8999999999996</v>
      </c>
    </row>
    <row r="172" spans="1:7" x14ac:dyDescent="0.25">
      <c r="A172" t="s">
        <v>27</v>
      </c>
      <c r="B172" s="3" t="s">
        <v>10</v>
      </c>
      <c r="C172" t="s">
        <v>29</v>
      </c>
      <c r="D172">
        <v>0</v>
      </c>
      <c r="E172" s="3" t="s">
        <v>11</v>
      </c>
      <c r="F172" s="3" t="s">
        <v>12</v>
      </c>
      <c r="G172">
        <v>13405.39</v>
      </c>
    </row>
    <row r="173" spans="1:7" x14ac:dyDescent="0.25">
      <c r="A173" t="s">
        <v>24</v>
      </c>
      <c r="B173" s="3" t="s">
        <v>10</v>
      </c>
      <c r="C173" t="s">
        <v>20</v>
      </c>
      <c r="D173">
        <v>0</v>
      </c>
      <c r="E173" s="3" t="s">
        <v>11</v>
      </c>
      <c r="F173" s="3" t="s">
        <v>9</v>
      </c>
      <c r="G173">
        <v>8116.68</v>
      </c>
    </row>
    <row r="174" spans="1:7" x14ac:dyDescent="0.25">
      <c r="A174" t="s">
        <v>19</v>
      </c>
      <c r="B174" s="3" t="s">
        <v>10</v>
      </c>
      <c r="C174" t="s">
        <v>31</v>
      </c>
      <c r="D174">
        <v>0</v>
      </c>
      <c r="E174" s="3" t="s">
        <v>11</v>
      </c>
      <c r="F174" s="3" t="s">
        <v>14</v>
      </c>
      <c r="G174">
        <v>1694.8</v>
      </c>
    </row>
    <row r="175" spans="1:7" x14ac:dyDescent="0.25">
      <c r="A175" t="s">
        <v>22</v>
      </c>
      <c r="B175" s="3" t="s">
        <v>7</v>
      </c>
      <c r="C175" t="s">
        <v>20</v>
      </c>
      <c r="D175">
        <v>1</v>
      </c>
      <c r="E175" s="3" t="s">
        <v>11</v>
      </c>
      <c r="F175" s="3" t="s">
        <v>9</v>
      </c>
      <c r="G175">
        <v>5246.05</v>
      </c>
    </row>
    <row r="176" spans="1:7" x14ac:dyDescent="0.25">
      <c r="A176" t="s">
        <v>17</v>
      </c>
      <c r="B176" s="3" t="s">
        <v>7</v>
      </c>
      <c r="C176" t="s">
        <v>20</v>
      </c>
      <c r="D176">
        <v>0</v>
      </c>
      <c r="E176" s="3" t="s">
        <v>11</v>
      </c>
      <c r="F176" s="3" t="s">
        <v>13</v>
      </c>
      <c r="G176">
        <v>2855.44</v>
      </c>
    </row>
    <row r="177" spans="1:7" x14ac:dyDescent="0.25">
      <c r="A177" t="s">
        <v>27</v>
      </c>
      <c r="B177" s="3" t="s">
        <v>7</v>
      </c>
      <c r="C177" t="s">
        <v>28</v>
      </c>
      <c r="D177">
        <v>0</v>
      </c>
      <c r="E177" s="3" t="s">
        <v>8</v>
      </c>
      <c r="F177" s="3" t="s">
        <v>9</v>
      </c>
      <c r="G177">
        <v>48824.45</v>
      </c>
    </row>
    <row r="178" spans="1:7" x14ac:dyDescent="0.25">
      <c r="A178" t="s">
        <v>25</v>
      </c>
      <c r="B178" s="3" t="s">
        <v>10</v>
      </c>
      <c r="C178" t="s">
        <v>18</v>
      </c>
      <c r="D178">
        <v>2</v>
      </c>
      <c r="E178" s="3" t="s">
        <v>11</v>
      </c>
      <c r="F178" s="3" t="s">
        <v>13</v>
      </c>
      <c r="G178">
        <v>6455.86</v>
      </c>
    </row>
    <row r="179" spans="1:7" x14ac:dyDescent="0.25">
      <c r="A179" t="s">
        <v>30</v>
      </c>
      <c r="B179" s="3" t="s">
        <v>10</v>
      </c>
      <c r="C179" t="s">
        <v>18</v>
      </c>
      <c r="D179">
        <v>1</v>
      </c>
      <c r="E179" s="3" t="s">
        <v>11</v>
      </c>
      <c r="F179" s="3" t="s">
        <v>9</v>
      </c>
      <c r="G179">
        <v>10436.1</v>
      </c>
    </row>
    <row r="180" spans="1:7" x14ac:dyDescent="0.25">
      <c r="A180" t="s">
        <v>24</v>
      </c>
      <c r="B180" s="3" t="s">
        <v>7</v>
      </c>
      <c r="C180" t="s">
        <v>18</v>
      </c>
      <c r="D180">
        <v>2</v>
      </c>
      <c r="E180" s="3" t="s">
        <v>11</v>
      </c>
      <c r="F180" s="3" t="s">
        <v>9</v>
      </c>
      <c r="G180">
        <v>8823.2800000000007</v>
      </c>
    </row>
    <row r="181" spans="1:7" x14ac:dyDescent="0.25">
      <c r="A181" t="s">
        <v>32</v>
      </c>
      <c r="B181" s="3" t="s">
        <v>7</v>
      </c>
      <c r="C181" t="s">
        <v>20</v>
      </c>
      <c r="D181">
        <v>3</v>
      </c>
      <c r="E181" s="3" t="s">
        <v>11</v>
      </c>
      <c r="F181" s="3" t="s">
        <v>14</v>
      </c>
      <c r="G181">
        <v>8538.2900000000009</v>
      </c>
    </row>
    <row r="182" spans="1:7" x14ac:dyDescent="0.25">
      <c r="A182" t="s">
        <v>26</v>
      </c>
      <c r="B182" s="3" t="s">
        <v>10</v>
      </c>
      <c r="C182" t="s">
        <v>18</v>
      </c>
      <c r="D182">
        <v>0</v>
      </c>
      <c r="E182" s="3" t="s">
        <v>11</v>
      </c>
      <c r="F182" s="3" t="s">
        <v>13</v>
      </c>
      <c r="G182">
        <v>11735.88</v>
      </c>
    </row>
    <row r="183" spans="1:7" x14ac:dyDescent="0.25">
      <c r="A183" t="s">
        <v>19</v>
      </c>
      <c r="B183" s="3" t="s">
        <v>7</v>
      </c>
      <c r="C183" t="s">
        <v>28</v>
      </c>
      <c r="D183">
        <v>0</v>
      </c>
      <c r="E183" s="3" t="s">
        <v>11</v>
      </c>
      <c r="F183" s="3" t="s">
        <v>12</v>
      </c>
      <c r="G183">
        <v>1631.82</v>
      </c>
    </row>
    <row r="184" spans="1:7" x14ac:dyDescent="0.25">
      <c r="A184" t="s">
        <v>17</v>
      </c>
      <c r="B184" s="3" t="s">
        <v>10</v>
      </c>
      <c r="C184" t="s">
        <v>23</v>
      </c>
      <c r="D184">
        <v>3</v>
      </c>
      <c r="E184" s="3" t="s">
        <v>11</v>
      </c>
      <c r="F184" s="3" t="s">
        <v>14</v>
      </c>
      <c r="G184">
        <v>4005.42</v>
      </c>
    </row>
    <row r="185" spans="1:7" x14ac:dyDescent="0.25">
      <c r="A185" t="s">
        <v>32</v>
      </c>
      <c r="B185" s="3" t="s">
        <v>7</v>
      </c>
      <c r="C185" t="s">
        <v>18</v>
      </c>
      <c r="D185">
        <v>0</v>
      </c>
      <c r="E185" s="3" t="s">
        <v>11</v>
      </c>
      <c r="F185" s="3" t="s">
        <v>13</v>
      </c>
      <c r="G185">
        <v>7419.48</v>
      </c>
    </row>
    <row r="186" spans="1:7" x14ac:dyDescent="0.25">
      <c r="A186" t="s">
        <v>32</v>
      </c>
      <c r="B186" s="3" t="s">
        <v>10</v>
      </c>
      <c r="C186" t="s">
        <v>20</v>
      </c>
      <c r="D186">
        <v>2</v>
      </c>
      <c r="E186" s="3" t="s">
        <v>11</v>
      </c>
      <c r="F186" s="3" t="s">
        <v>12</v>
      </c>
      <c r="G186">
        <v>7731.43</v>
      </c>
    </row>
    <row r="187" spans="1:7" x14ac:dyDescent="0.25">
      <c r="A187" t="s">
        <v>25</v>
      </c>
      <c r="B187" s="3" t="s">
        <v>10</v>
      </c>
      <c r="C187" t="s">
        <v>29</v>
      </c>
      <c r="D187">
        <v>3</v>
      </c>
      <c r="E187" s="3" t="s">
        <v>8</v>
      </c>
      <c r="F187" s="3" t="s">
        <v>14</v>
      </c>
      <c r="G187">
        <v>43753.34</v>
      </c>
    </row>
    <row r="188" spans="1:7" x14ac:dyDescent="0.25">
      <c r="A188" t="s">
        <v>21</v>
      </c>
      <c r="B188" s="3" t="s">
        <v>7</v>
      </c>
      <c r="C188" t="s">
        <v>20</v>
      </c>
      <c r="D188">
        <v>2</v>
      </c>
      <c r="E188" s="3" t="s">
        <v>11</v>
      </c>
      <c r="F188" s="3" t="s">
        <v>12</v>
      </c>
      <c r="G188">
        <v>3981.98</v>
      </c>
    </row>
    <row r="189" spans="1:7" x14ac:dyDescent="0.25">
      <c r="A189" t="s">
        <v>21</v>
      </c>
      <c r="B189" s="3" t="s">
        <v>7</v>
      </c>
      <c r="C189" t="s">
        <v>20</v>
      </c>
      <c r="D189">
        <v>3</v>
      </c>
      <c r="E189" s="3" t="s">
        <v>11</v>
      </c>
      <c r="F189" s="3" t="s">
        <v>9</v>
      </c>
      <c r="G189">
        <v>5325.65</v>
      </c>
    </row>
    <row r="190" spans="1:7" x14ac:dyDescent="0.25">
      <c r="A190" t="s">
        <v>32</v>
      </c>
      <c r="B190" s="3" t="s">
        <v>7</v>
      </c>
      <c r="C190" t="s">
        <v>20</v>
      </c>
      <c r="D190">
        <v>1</v>
      </c>
      <c r="E190" s="3" t="s">
        <v>11</v>
      </c>
      <c r="F190" s="3" t="s">
        <v>9</v>
      </c>
      <c r="G190">
        <v>6775.96</v>
      </c>
    </row>
    <row r="191" spans="1:7" x14ac:dyDescent="0.25">
      <c r="A191" t="s">
        <v>21</v>
      </c>
      <c r="B191" s="3" t="s">
        <v>7</v>
      </c>
      <c r="C191" t="s">
        <v>20</v>
      </c>
      <c r="D191">
        <v>2</v>
      </c>
      <c r="E191" s="3" t="s">
        <v>11</v>
      </c>
      <c r="F191" s="3" t="s">
        <v>13</v>
      </c>
      <c r="G191">
        <v>4922.92</v>
      </c>
    </row>
    <row r="192" spans="1:7" x14ac:dyDescent="0.25">
      <c r="A192" t="s">
        <v>27</v>
      </c>
      <c r="B192" s="3" t="s">
        <v>10</v>
      </c>
      <c r="C192" t="s">
        <v>20</v>
      </c>
      <c r="D192">
        <v>0</v>
      </c>
      <c r="E192" s="3" t="s">
        <v>11</v>
      </c>
      <c r="F192" s="3" t="s">
        <v>12</v>
      </c>
      <c r="G192">
        <v>12557.61</v>
      </c>
    </row>
    <row r="193" spans="1:7" x14ac:dyDescent="0.25">
      <c r="A193" t="s">
        <v>25</v>
      </c>
      <c r="B193" s="3" t="s">
        <v>7</v>
      </c>
      <c r="C193" t="s">
        <v>18</v>
      </c>
      <c r="D193">
        <v>0</v>
      </c>
      <c r="E193" s="3" t="s">
        <v>11</v>
      </c>
      <c r="F193" s="3" t="s">
        <v>9</v>
      </c>
      <c r="G193">
        <v>4883.87</v>
      </c>
    </row>
    <row r="194" spans="1:7" x14ac:dyDescent="0.25">
      <c r="A194" t="s">
        <v>17</v>
      </c>
      <c r="B194" s="3" t="s">
        <v>10</v>
      </c>
      <c r="C194" t="s">
        <v>18</v>
      </c>
      <c r="D194">
        <v>0</v>
      </c>
      <c r="E194" s="3" t="s">
        <v>11</v>
      </c>
      <c r="F194" s="3" t="s">
        <v>12</v>
      </c>
      <c r="G194">
        <v>2137.65</v>
      </c>
    </row>
    <row r="195" spans="1:7" x14ac:dyDescent="0.25">
      <c r="A195" t="s">
        <v>26</v>
      </c>
      <c r="B195" s="3" t="s">
        <v>7</v>
      </c>
      <c r="C195" t="s">
        <v>18</v>
      </c>
      <c r="D195">
        <v>1</v>
      </c>
      <c r="E195" s="3" t="s">
        <v>11</v>
      </c>
      <c r="F195" s="3" t="s">
        <v>13</v>
      </c>
      <c r="G195">
        <v>12044.34</v>
      </c>
    </row>
    <row r="196" spans="1:7" x14ac:dyDescent="0.25">
      <c r="A196" t="s">
        <v>19</v>
      </c>
      <c r="B196" s="3" t="s">
        <v>10</v>
      </c>
      <c r="C196" t="s">
        <v>20</v>
      </c>
      <c r="D196">
        <v>0</v>
      </c>
      <c r="E196" s="3" t="s">
        <v>11</v>
      </c>
      <c r="F196" s="3" t="s">
        <v>12</v>
      </c>
      <c r="G196">
        <v>1137.47</v>
      </c>
    </row>
    <row r="197" spans="1:7" x14ac:dyDescent="0.25">
      <c r="A197" t="s">
        <v>17</v>
      </c>
      <c r="B197" s="3" t="s">
        <v>10</v>
      </c>
      <c r="C197" t="s">
        <v>20</v>
      </c>
      <c r="D197">
        <v>0</v>
      </c>
      <c r="E197" s="3" t="s">
        <v>11</v>
      </c>
      <c r="F197" s="3" t="s">
        <v>13</v>
      </c>
      <c r="G197">
        <v>1639.56</v>
      </c>
    </row>
    <row r="198" spans="1:7" x14ac:dyDescent="0.25">
      <c r="A198" t="s">
        <v>25</v>
      </c>
      <c r="B198" s="3" t="s">
        <v>7</v>
      </c>
      <c r="C198" t="s">
        <v>20</v>
      </c>
      <c r="D198">
        <v>0</v>
      </c>
      <c r="E198" s="3" t="s">
        <v>11</v>
      </c>
      <c r="F198" s="3" t="s">
        <v>9</v>
      </c>
      <c r="G198">
        <v>5649.72</v>
      </c>
    </row>
    <row r="199" spans="1:7" x14ac:dyDescent="0.25">
      <c r="A199" t="s">
        <v>32</v>
      </c>
      <c r="B199" s="3" t="s">
        <v>7</v>
      </c>
      <c r="C199" t="s">
        <v>18</v>
      </c>
      <c r="D199">
        <v>2</v>
      </c>
      <c r="E199" s="3" t="s">
        <v>11</v>
      </c>
      <c r="F199" s="3" t="s">
        <v>12</v>
      </c>
      <c r="G199">
        <v>8516.83</v>
      </c>
    </row>
    <row r="200" spans="1:7" x14ac:dyDescent="0.25">
      <c r="A200" t="s">
        <v>30</v>
      </c>
      <c r="B200" s="3" t="s">
        <v>7</v>
      </c>
      <c r="C200" t="s">
        <v>31</v>
      </c>
      <c r="D200">
        <v>0</v>
      </c>
      <c r="E200" s="3" t="s">
        <v>11</v>
      </c>
      <c r="F200" s="3" t="s">
        <v>13</v>
      </c>
      <c r="G200">
        <v>9644.25</v>
      </c>
    </row>
    <row r="201" spans="1:7" x14ac:dyDescent="0.25">
      <c r="A201" t="s">
        <v>27</v>
      </c>
      <c r="B201" s="3" t="s">
        <v>7</v>
      </c>
      <c r="C201" t="s">
        <v>28</v>
      </c>
      <c r="D201">
        <v>0</v>
      </c>
      <c r="E201" s="3" t="s">
        <v>11</v>
      </c>
      <c r="F201" s="3" t="s">
        <v>14</v>
      </c>
      <c r="G201">
        <v>14901.52</v>
      </c>
    </row>
    <row r="202" spans="1:7" x14ac:dyDescent="0.25">
      <c r="A202" t="s">
        <v>17</v>
      </c>
      <c r="B202" s="3" t="s">
        <v>7</v>
      </c>
      <c r="C202" t="s">
        <v>20</v>
      </c>
      <c r="D202">
        <v>0</v>
      </c>
      <c r="E202" s="3" t="s">
        <v>11</v>
      </c>
      <c r="F202" s="3" t="s">
        <v>13</v>
      </c>
      <c r="G202">
        <v>2130.6799999999998</v>
      </c>
    </row>
    <row r="203" spans="1:7" x14ac:dyDescent="0.25">
      <c r="A203" t="s">
        <v>24</v>
      </c>
      <c r="B203" s="3" t="s">
        <v>7</v>
      </c>
      <c r="C203" t="s">
        <v>20</v>
      </c>
      <c r="D203">
        <v>1</v>
      </c>
      <c r="E203" s="3" t="s">
        <v>11</v>
      </c>
      <c r="F203" s="3" t="s">
        <v>12</v>
      </c>
      <c r="G203">
        <v>8871.15</v>
      </c>
    </row>
    <row r="204" spans="1:7" x14ac:dyDescent="0.25">
      <c r="A204" t="s">
        <v>26</v>
      </c>
      <c r="B204" s="3" t="s">
        <v>7</v>
      </c>
      <c r="C204" t="s">
        <v>23</v>
      </c>
      <c r="D204">
        <v>0</v>
      </c>
      <c r="E204" s="3" t="s">
        <v>11</v>
      </c>
      <c r="F204" s="3" t="s">
        <v>13</v>
      </c>
      <c r="G204">
        <v>13012.21</v>
      </c>
    </row>
    <row r="205" spans="1:7" x14ac:dyDescent="0.25">
      <c r="A205" t="s">
        <v>21</v>
      </c>
      <c r="B205" s="3" t="s">
        <v>7</v>
      </c>
      <c r="C205" t="s">
        <v>28</v>
      </c>
      <c r="D205">
        <v>0</v>
      </c>
      <c r="E205" s="3" t="s">
        <v>8</v>
      </c>
      <c r="F205" s="3" t="s">
        <v>12</v>
      </c>
      <c r="G205">
        <v>37133.9</v>
      </c>
    </row>
    <row r="206" spans="1:7" x14ac:dyDescent="0.25">
      <c r="A206" t="s">
        <v>24</v>
      </c>
      <c r="B206" s="3" t="s">
        <v>10</v>
      </c>
      <c r="C206" t="s">
        <v>23</v>
      </c>
      <c r="D206">
        <v>0</v>
      </c>
      <c r="E206" s="3" t="s">
        <v>11</v>
      </c>
      <c r="F206" s="3" t="s">
        <v>9</v>
      </c>
      <c r="G206">
        <v>7147.1</v>
      </c>
    </row>
    <row r="207" spans="1:7" x14ac:dyDescent="0.25">
      <c r="A207" t="s">
        <v>21</v>
      </c>
      <c r="B207" s="3" t="s">
        <v>7</v>
      </c>
      <c r="C207" t="s">
        <v>18</v>
      </c>
      <c r="D207">
        <v>1</v>
      </c>
      <c r="E207" s="3" t="s">
        <v>11</v>
      </c>
      <c r="F207" s="3" t="s">
        <v>14</v>
      </c>
      <c r="G207">
        <v>4337.74</v>
      </c>
    </row>
    <row r="208" spans="1:7" x14ac:dyDescent="0.25">
      <c r="A208" t="s">
        <v>26</v>
      </c>
      <c r="B208" s="3" t="s">
        <v>10</v>
      </c>
      <c r="C208" t="s">
        <v>18</v>
      </c>
      <c r="D208">
        <v>0</v>
      </c>
      <c r="E208" s="3" t="s">
        <v>11</v>
      </c>
      <c r="F208" s="3" t="s">
        <v>12</v>
      </c>
      <c r="G208">
        <v>11743.3</v>
      </c>
    </row>
    <row r="209" spans="1:7" x14ac:dyDescent="0.25">
      <c r="A209" t="s">
        <v>22</v>
      </c>
      <c r="B209" s="3" t="s">
        <v>10</v>
      </c>
      <c r="C209" t="s">
        <v>18</v>
      </c>
      <c r="D209">
        <v>2</v>
      </c>
      <c r="E209" s="3" t="s">
        <v>8</v>
      </c>
      <c r="F209" s="3" t="s">
        <v>14</v>
      </c>
      <c r="G209">
        <v>20984.09</v>
      </c>
    </row>
    <row r="210" spans="1:7" x14ac:dyDescent="0.25">
      <c r="A210" t="s">
        <v>27</v>
      </c>
      <c r="B210" s="3" t="s">
        <v>7</v>
      </c>
      <c r="C210" t="s">
        <v>20</v>
      </c>
      <c r="D210">
        <v>0</v>
      </c>
      <c r="E210" s="3" t="s">
        <v>11</v>
      </c>
      <c r="F210" s="3" t="s">
        <v>9</v>
      </c>
      <c r="G210">
        <v>13880.95</v>
      </c>
    </row>
    <row r="211" spans="1:7" x14ac:dyDescent="0.25">
      <c r="A211" t="s">
        <v>25</v>
      </c>
      <c r="B211" s="3" t="s">
        <v>10</v>
      </c>
      <c r="C211" t="s">
        <v>29</v>
      </c>
      <c r="D211">
        <v>1</v>
      </c>
      <c r="E211" s="3" t="s">
        <v>11</v>
      </c>
      <c r="F211" s="3" t="s">
        <v>14</v>
      </c>
      <c r="G211">
        <v>6610.11</v>
      </c>
    </row>
    <row r="212" spans="1:7" x14ac:dyDescent="0.25">
      <c r="A212" t="s">
        <v>17</v>
      </c>
      <c r="B212" s="3" t="s">
        <v>10</v>
      </c>
      <c r="C212" t="s">
        <v>20</v>
      </c>
      <c r="D212">
        <v>1</v>
      </c>
      <c r="E212" s="3" t="s">
        <v>11</v>
      </c>
      <c r="F212" s="3" t="s">
        <v>9</v>
      </c>
      <c r="G212">
        <v>1980.07</v>
      </c>
    </row>
    <row r="213" spans="1:7" x14ac:dyDescent="0.25">
      <c r="A213" t="s">
        <v>25</v>
      </c>
      <c r="B213" s="3" t="s">
        <v>10</v>
      </c>
      <c r="C213" t="s">
        <v>20</v>
      </c>
      <c r="D213">
        <v>4</v>
      </c>
      <c r="E213" s="3" t="s">
        <v>11</v>
      </c>
      <c r="F213" s="3" t="s">
        <v>13</v>
      </c>
      <c r="G213">
        <v>8162.72</v>
      </c>
    </row>
    <row r="214" spans="1:7" x14ac:dyDescent="0.25">
      <c r="A214" t="s">
        <v>17</v>
      </c>
      <c r="B214" s="3" t="s">
        <v>10</v>
      </c>
      <c r="C214" t="s">
        <v>18</v>
      </c>
      <c r="D214">
        <v>2</v>
      </c>
      <c r="E214" s="3" t="s">
        <v>11</v>
      </c>
      <c r="F214" s="3" t="s">
        <v>13</v>
      </c>
      <c r="G214">
        <v>3537.7</v>
      </c>
    </row>
    <row r="215" spans="1:7" x14ac:dyDescent="0.25">
      <c r="A215" t="s">
        <v>22</v>
      </c>
      <c r="B215" s="3" t="s">
        <v>7</v>
      </c>
      <c r="C215" t="s">
        <v>18</v>
      </c>
      <c r="D215">
        <v>1</v>
      </c>
      <c r="E215" s="3" t="s">
        <v>11</v>
      </c>
      <c r="F215" s="3" t="s">
        <v>12</v>
      </c>
      <c r="G215">
        <v>5002.78</v>
      </c>
    </row>
    <row r="216" spans="1:7" x14ac:dyDescent="0.25">
      <c r="A216" t="s">
        <v>32</v>
      </c>
      <c r="B216" s="3" t="s">
        <v>7</v>
      </c>
      <c r="C216" t="s">
        <v>20</v>
      </c>
      <c r="D216">
        <v>2</v>
      </c>
      <c r="E216" s="3" t="s">
        <v>11</v>
      </c>
      <c r="F216" s="3" t="s">
        <v>9</v>
      </c>
      <c r="G216">
        <v>8520.0300000000007</v>
      </c>
    </row>
    <row r="217" spans="1:7" x14ac:dyDescent="0.25">
      <c r="A217" t="s">
        <v>32</v>
      </c>
      <c r="B217" s="3" t="s">
        <v>7</v>
      </c>
      <c r="C217" t="s">
        <v>28</v>
      </c>
      <c r="D217">
        <v>2</v>
      </c>
      <c r="E217" s="3" t="s">
        <v>11</v>
      </c>
      <c r="F217" s="3" t="s">
        <v>9</v>
      </c>
      <c r="G217">
        <v>7371.77</v>
      </c>
    </row>
    <row r="218" spans="1:7" x14ac:dyDescent="0.25">
      <c r="A218" t="s">
        <v>30</v>
      </c>
      <c r="B218" s="3" t="s">
        <v>7</v>
      </c>
      <c r="C218" t="s">
        <v>18</v>
      </c>
      <c r="D218">
        <v>0</v>
      </c>
      <c r="E218" s="3" t="s">
        <v>11</v>
      </c>
      <c r="F218" s="3" t="s">
        <v>13</v>
      </c>
      <c r="G218">
        <v>10355.64</v>
      </c>
    </row>
    <row r="219" spans="1:7" x14ac:dyDescent="0.25">
      <c r="A219" t="s">
        <v>21</v>
      </c>
      <c r="B219" s="3" t="s">
        <v>10</v>
      </c>
      <c r="C219" t="s">
        <v>23</v>
      </c>
      <c r="D219">
        <v>0</v>
      </c>
      <c r="E219" s="3" t="s">
        <v>11</v>
      </c>
      <c r="F219" s="3" t="s">
        <v>12</v>
      </c>
      <c r="G219">
        <v>2483.7399999999998</v>
      </c>
    </row>
    <row r="220" spans="1:7" x14ac:dyDescent="0.25">
      <c r="A220" t="s">
        <v>21</v>
      </c>
      <c r="B220" s="3" t="s">
        <v>7</v>
      </c>
      <c r="C220" t="s">
        <v>20</v>
      </c>
      <c r="D220">
        <v>1</v>
      </c>
      <c r="E220" s="3" t="s">
        <v>11</v>
      </c>
      <c r="F220" s="3" t="s">
        <v>12</v>
      </c>
      <c r="G220">
        <v>3392.98</v>
      </c>
    </row>
    <row r="221" spans="1:7" x14ac:dyDescent="0.25">
      <c r="A221" t="s">
        <v>17</v>
      </c>
      <c r="B221" s="3" t="s">
        <v>7</v>
      </c>
      <c r="C221" t="s">
        <v>23</v>
      </c>
      <c r="D221">
        <v>0</v>
      </c>
      <c r="E221" s="3" t="s">
        <v>11</v>
      </c>
      <c r="F221" s="3" t="s">
        <v>12</v>
      </c>
      <c r="G221">
        <v>25081.77</v>
      </c>
    </row>
    <row r="222" spans="1:7" x14ac:dyDescent="0.25">
      <c r="A222" t="s">
        <v>22</v>
      </c>
      <c r="B222" s="3" t="s">
        <v>7</v>
      </c>
      <c r="C222" t="s">
        <v>20</v>
      </c>
      <c r="D222">
        <v>1</v>
      </c>
      <c r="E222" s="3" t="s">
        <v>11</v>
      </c>
      <c r="F222" s="3" t="s">
        <v>9</v>
      </c>
      <c r="G222">
        <v>5012.47</v>
      </c>
    </row>
    <row r="223" spans="1:7" x14ac:dyDescent="0.25">
      <c r="A223" t="s">
        <v>30</v>
      </c>
      <c r="B223" s="3" t="s">
        <v>7</v>
      </c>
      <c r="C223" t="s">
        <v>20</v>
      </c>
      <c r="D223">
        <v>0</v>
      </c>
      <c r="E223" s="3" t="s">
        <v>11</v>
      </c>
      <c r="F223" s="3" t="s">
        <v>14</v>
      </c>
      <c r="G223">
        <v>10564.88</v>
      </c>
    </row>
    <row r="224" spans="1:7" x14ac:dyDescent="0.25">
      <c r="A224" t="s">
        <v>22</v>
      </c>
      <c r="B224" s="3" t="s">
        <v>10</v>
      </c>
      <c r="C224" t="s">
        <v>20</v>
      </c>
      <c r="D224">
        <v>3</v>
      </c>
      <c r="E224" s="3" t="s">
        <v>11</v>
      </c>
      <c r="F224" s="3" t="s">
        <v>9</v>
      </c>
      <c r="G224">
        <v>5253.52</v>
      </c>
    </row>
    <row r="225" spans="1:7" x14ac:dyDescent="0.25">
      <c r="A225" t="s">
        <v>17</v>
      </c>
      <c r="B225" s="3" t="s">
        <v>10</v>
      </c>
      <c r="C225" t="s">
        <v>20</v>
      </c>
      <c r="D225">
        <v>0</v>
      </c>
      <c r="E225" s="3" t="s">
        <v>8</v>
      </c>
      <c r="F225" s="3" t="s">
        <v>9</v>
      </c>
      <c r="G225">
        <v>34779.620000000003</v>
      </c>
    </row>
    <row r="226" spans="1:7" x14ac:dyDescent="0.25">
      <c r="A226" t="s">
        <v>32</v>
      </c>
      <c r="B226" s="3" t="s">
        <v>10</v>
      </c>
      <c r="C226" t="s">
        <v>23</v>
      </c>
      <c r="D226">
        <v>0</v>
      </c>
      <c r="E226" s="3" t="s">
        <v>8</v>
      </c>
      <c r="F226" s="3" t="s">
        <v>12</v>
      </c>
      <c r="G226">
        <v>19515.54</v>
      </c>
    </row>
    <row r="227" spans="1:7" x14ac:dyDescent="0.25">
      <c r="A227" t="s">
        <v>30</v>
      </c>
      <c r="B227" s="3" t="s">
        <v>10</v>
      </c>
      <c r="C227" t="s">
        <v>20</v>
      </c>
      <c r="D227">
        <v>3</v>
      </c>
      <c r="E227" s="3" t="s">
        <v>11</v>
      </c>
      <c r="F227" s="3" t="s">
        <v>12</v>
      </c>
      <c r="G227">
        <v>11987.17</v>
      </c>
    </row>
    <row r="228" spans="1:7" x14ac:dyDescent="0.25">
      <c r="A228" t="s">
        <v>21</v>
      </c>
      <c r="B228" s="3" t="s">
        <v>10</v>
      </c>
      <c r="C228" t="s">
        <v>28</v>
      </c>
      <c r="D228">
        <v>0</v>
      </c>
      <c r="E228" s="3" t="s">
        <v>11</v>
      </c>
      <c r="F228" s="3" t="s">
        <v>12</v>
      </c>
      <c r="G228">
        <v>2689.5</v>
      </c>
    </row>
    <row r="229" spans="1:7" x14ac:dyDescent="0.25">
      <c r="A229" t="s">
        <v>26</v>
      </c>
      <c r="B229" s="3" t="s">
        <v>7</v>
      </c>
      <c r="C229" t="s">
        <v>29</v>
      </c>
      <c r="D229">
        <v>0</v>
      </c>
      <c r="E229" s="3" t="s">
        <v>11</v>
      </c>
      <c r="F229" s="3" t="s">
        <v>12</v>
      </c>
      <c r="G229">
        <v>24227.34</v>
      </c>
    </row>
    <row r="230" spans="1:7" x14ac:dyDescent="0.25">
      <c r="A230" t="s">
        <v>32</v>
      </c>
      <c r="B230" s="3" t="s">
        <v>7</v>
      </c>
      <c r="C230" t="s">
        <v>20</v>
      </c>
      <c r="D230">
        <v>1</v>
      </c>
      <c r="E230" s="3" t="s">
        <v>11</v>
      </c>
      <c r="F230" s="3" t="s">
        <v>14</v>
      </c>
      <c r="G230">
        <v>7358.18</v>
      </c>
    </row>
    <row r="231" spans="1:7" x14ac:dyDescent="0.25">
      <c r="A231" t="s">
        <v>24</v>
      </c>
      <c r="B231" s="3" t="s">
        <v>10</v>
      </c>
      <c r="C231" t="s">
        <v>18</v>
      </c>
      <c r="D231">
        <v>2</v>
      </c>
      <c r="E231" s="3" t="s">
        <v>11</v>
      </c>
      <c r="F231" s="3" t="s">
        <v>14</v>
      </c>
      <c r="G231">
        <v>9225.26</v>
      </c>
    </row>
    <row r="232" spans="1:7" x14ac:dyDescent="0.25">
      <c r="A232" t="s">
        <v>32</v>
      </c>
      <c r="B232" s="3" t="s">
        <v>7</v>
      </c>
      <c r="C232" t="s">
        <v>28</v>
      </c>
      <c r="D232">
        <v>1</v>
      </c>
      <c r="E232" s="3" t="s">
        <v>11</v>
      </c>
      <c r="F232" s="3" t="s">
        <v>13</v>
      </c>
      <c r="G232">
        <v>7443.64</v>
      </c>
    </row>
    <row r="233" spans="1:7" x14ac:dyDescent="0.25">
      <c r="A233" t="s">
        <v>26</v>
      </c>
      <c r="B233" s="3" t="s">
        <v>7</v>
      </c>
      <c r="C233" t="s">
        <v>18</v>
      </c>
      <c r="D233">
        <v>3</v>
      </c>
      <c r="E233" s="3" t="s">
        <v>11</v>
      </c>
      <c r="F233" s="3" t="s">
        <v>12</v>
      </c>
      <c r="G233">
        <v>14001.29</v>
      </c>
    </row>
    <row r="234" spans="1:7" x14ac:dyDescent="0.25">
      <c r="A234" t="s">
        <v>17</v>
      </c>
      <c r="B234" s="3" t="s">
        <v>7</v>
      </c>
      <c r="C234" t="s">
        <v>31</v>
      </c>
      <c r="D234">
        <v>0</v>
      </c>
      <c r="E234" s="3" t="s">
        <v>11</v>
      </c>
      <c r="F234" s="3" t="s">
        <v>9</v>
      </c>
      <c r="G234">
        <v>1727.78</v>
      </c>
    </row>
    <row r="235" spans="1:7" x14ac:dyDescent="0.25">
      <c r="A235" t="s">
        <v>26</v>
      </c>
      <c r="B235" s="3" t="s">
        <v>10</v>
      </c>
      <c r="C235" t="s">
        <v>18</v>
      </c>
      <c r="D235">
        <v>1</v>
      </c>
      <c r="E235" s="3" t="s">
        <v>11</v>
      </c>
      <c r="F235" s="3" t="s">
        <v>9</v>
      </c>
      <c r="G235">
        <v>12333.83</v>
      </c>
    </row>
    <row r="236" spans="1:7" x14ac:dyDescent="0.25">
      <c r="A236" t="s">
        <v>25</v>
      </c>
      <c r="B236" s="3" t="s">
        <v>10</v>
      </c>
      <c r="C236" t="s">
        <v>23</v>
      </c>
      <c r="D236">
        <v>2</v>
      </c>
      <c r="E236" s="3" t="s">
        <v>11</v>
      </c>
      <c r="F236" s="3" t="s">
        <v>13</v>
      </c>
      <c r="G236">
        <v>6710.19</v>
      </c>
    </row>
    <row r="237" spans="1:7" x14ac:dyDescent="0.25">
      <c r="A237" t="s">
        <v>25</v>
      </c>
      <c r="B237" s="3" t="s">
        <v>7</v>
      </c>
      <c r="C237" t="s">
        <v>23</v>
      </c>
      <c r="D237">
        <v>2</v>
      </c>
      <c r="E237" s="3" t="s">
        <v>8</v>
      </c>
      <c r="F237" s="3" t="s">
        <v>12</v>
      </c>
      <c r="G237">
        <v>19444.27</v>
      </c>
    </row>
    <row r="238" spans="1:7" x14ac:dyDescent="0.25">
      <c r="A238" t="s">
        <v>19</v>
      </c>
      <c r="B238" s="3" t="s">
        <v>7</v>
      </c>
      <c r="C238" t="s">
        <v>18</v>
      </c>
      <c r="D238">
        <v>0</v>
      </c>
      <c r="E238" s="3" t="s">
        <v>11</v>
      </c>
      <c r="F238" s="3" t="s">
        <v>12</v>
      </c>
      <c r="G238">
        <v>1615.77</v>
      </c>
    </row>
    <row r="239" spans="1:7" x14ac:dyDescent="0.25">
      <c r="A239" t="s">
        <v>22</v>
      </c>
      <c r="B239" s="3" t="s">
        <v>10</v>
      </c>
      <c r="C239" t="s">
        <v>28</v>
      </c>
      <c r="D239">
        <v>2</v>
      </c>
      <c r="E239" s="3" t="s">
        <v>11</v>
      </c>
      <c r="F239" s="3" t="s">
        <v>12</v>
      </c>
      <c r="G239">
        <v>4463.21</v>
      </c>
    </row>
    <row r="240" spans="1:7" x14ac:dyDescent="0.25">
      <c r="A240" t="s">
        <v>17</v>
      </c>
      <c r="B240" s="3" t="s">
        <v>10</v>
      </c>
      <c r="C240" t="s">
        <v>18</v>
      </c>
      <c r="D240">
        <v>0</v>
      </c>
      <c r="E240" s="3" t="s">
        <v>8</v>
      </c>
      <c r="F240" s="3" t="s">
        <v>13</v>
      </c>
      <c r="G240">
        <v>17352.68</v>
      </c>
    </row>
    <row r="241" spans="1:7" x14ac:dyDescent="0.25">
      <c r="A241" t="s">
        <v>32</v>
      </c>
      <c r="B241" s="3" t="s">
        <v>10</v>
      </c>
      <c r="C241" t="s">
        <v>28</v>
      </c>
      <c r="D241">
        <v>1</v>
      </c>
      <c r="E241" s="3" t="s">
        <v>11</v>
      </c>
      <c r="F241" s="3" t="s">
        <v>12</v>
      </c>
      <c r="G241">
        <v>7152.67</v>
      </c>
    </row>
    <row r="242" spans="1:7" x14ac:dyDescent="0.25">
      <c r="A242" t="s">
        <v>17</v>
      </c>
      <c r="B242" s="3" t="s">
        <v>7</v>
      </c>
      <c r="C242" t="s">
        <v>28</v>
      </c>
      <c r="D242">
        <v>2</v>
      </c>
      <c r="E242" s="3" t="s">
        <v>8</v>
      </c>
      <c r="F242" s="3" t="s">
        <v>14</v>
      </c>
      <c r="G242">
        <v>38511.629999999997</v>
      </c>
    </row>
    <row r="243" spans="1:7" x14ac:dyDescent="0.25">
      <c r="A243" t="s">
        <v>22</v>
      </c>
      <c r="B243" s="3" t="s">
        <v>7</v>
      </c>
      <c r="C243" t="s">
        <v>23</v>
      </c>
      <c r="D243">
        <v>1</v>
      </c>
      <c r="E243" s="3" t="s">
        <v>11</v>
      </c>
      <c r="F243" s="3" t="s">
        <v>14</v>
      </c>
      <c r="G243">
        <v>5354.07</v>
      </c>
    </row>
    <row r="244" spans="1:7" x14ac:dyDescent="0.25">
      <c r="A244" t="s">
        <v>30</v>
      </c>
      <c r="B244" s="3" t="s">
        <v>7</v>
      </c>
      <c r="C244" t="s">
        <v>18</v>
      </c>
      <c r="D244">
        <v>1</v>
      </c>
      <c r="E244" s="3" t="s">
        <v>11</v>
      </c>
      <c r="F244" s="3" t="s">
        <v>9</v>
      </c>
      <c r="G244">
        <v>35160.129999999997</v>
      </c>
    </row>
    <row r="245" spans="1:7" x14ac:dyDescent="0.25">
      <c r="A245" t="s">
        <v>25</v>
      </c>
      <c r="B245" s="3" t="s">
        <v>10</v>
      </c>
      <c r="C245" t="s">
        <v>28</v>
      </c>
      <c r="D245">
        <v>3</v>
      </c>
      <c r="E245" s="3" t="s">
        <v>11</v>
      </c>
      <c r="F245" s="3" t="s">
        <v>9</v>
      </c>
      <c r="G245">
        <v>7196.87</v>
      </c>
    </row>
    <row r="246" spans="1:7" x14ac:dyDescent="0.25">
      <c r="A246" t="s">
        <v>27</v>
      </c>
      <c r="B246" s="3" t="s">
        <v>7</v>
      </c>
      <c r="C246" t="s">
        <v>18</v>
      </c>
      <c r="D246">
        <v>0</v>
      </c>
      <c r="E246" s="3" t="s">
        <v>8</v>
      </c>
      <c r="F246" s="3" t="s">
        <v>14</v>
      </c>
      <c r="G246">
        <v>29523.17</v>
      </c>
    </row>
    <row r="247" spans="1:7" x14ac:dyDescent="0.25">
      <c r="A247" t="s">
        <v>30</v>
      </c>
      <c r="B247" s="3" t="s">
        <v>10</v>
      </c>
      <c r="C247" t="s">
        <v>20</v>
      </c>
      <c r="D247">
        <v>0</v>
      </c>
      <c r="E247" s="3" t="s">
        <v>11</v>
      </c>
      <c r="F247" s="3" t="s">
        <v>13</v>
      </c>
      <c r="G247">
        <v>24476.48</v>
      </c>
    </row>
    <row r="248" spans="1:7" x14ac:dyDescent="0.25">
      <c r="A248" t="s">
        <v>26</v>
      </c>
      <c r="B248" s="3" t="s">
        <v>7</v>
      </c>
      <c r="C248" t="s">
        <v>28</v>
      </c>
      <c r="D248">
        <v>0</v>
      </c>
      <c r="E248" s="3" t="s">
        <v>11</v>
      </c>
      <c r="F248" s="3" t="s">
        <v>12</v>
      </c>
      <c r="G248">
        <v>12648.7</v>
      </c>
    </row>
    <row r="249" spans="1:7" x14ac:dyDescent="0.25">
      <c r="A249" t="s">
        <v>17</v>
      </c>
      <c r="B249" s="3" t="s">
        <v>10</v>
      </c>
      <c r="C249" t="s">
        <v>28</v>
      </c>
      <c r="D249">
        <v>0</v>
      </c>
      <c r="E249" s="3" t="s">
        <v>11</v>
      </c>
      <c r="F249" s="3" t="s">
        <v>12</v>
      </c>
      <c r="G249">
        <v>1986.93</v>
      </c>
    </row>
    <row r="250" spans="1:7" x14ac:dyDescent="0.25">
      <c r="A250" t="s">
        <v>17</v>
      </c>
      <c r="B250" s="3" t="s">
        <v>10</v>
      </c>
      <c r="C250" t="s">
        <v>23</v>
      </c>
      <c r="D250">
        <v>1</v>
      </c>
      <c r="E250" s="3" t="s">
        <v>11</v>
      </c>
      <c r="F250" s="3" t="s">
        <v>9</v>
      </c>
      <c r="G250">
        <v>1832.09</v>
      </c>
    </row>
    <row r="251" spans="1:7" x14ac:dyDescent="0.25">
      <c r="A251" t="s">
        <v>21</v>
      </c>
      <c r="B251" s="3" t="s">
        <v>10</v>
      </c>
      <c r="C251" t="s">
        <v>18</v>
      </c>
      <c r="D251">
        <v>1</v>
      </c>
      <c r="E251" s="3" t="s">
        <v>11</v>
      </c>
      <c r="F251" s="3" t="s">
        <v>14</v>
      </c>
      <c r="G251">
        <v>4040.56</v>
      </c>
    </row>
    <row r="252" spans="1:7" x14ac:dyDescent="0.25">
      <c r="A252" t="s">
        <v>19</v>
      </c>
      <c r="B252" s="3" t="s">
        <v>10</v>
      </c>
      <c r="C252" t="s">
        <v>31</v>
      </c>
      <c r="D252">
        <v>2</v>
      </c>
      <c r="E252" s="3" t="s">
        <v>8</v>
      </c>
      <c r="F252" s="3" t="s">
        <v>14</v>
      </c>
      <c r="G252">
        <v>12829.46</v>
      </c>
    </row>
    <row r="253" spans="1:7" x14ac:dyDescent="0.25">
      <c r="A253" t="s">
        <v>27</v>
      </c>
      <c r="B253" s="3" t="s">
        <v>7</v>
      </c>
      <c r="C253" t="s">
        <v>20</v>
      </c>
      <c r="D253">
        <v>2</v>
      </c>
      <c r="E253" s="3" t="s">
        <v>8</v>
      </c>
      <c r="F253" s="3" t="s">
        <v>9</v>
      </c>
      <c r="G253">
        <v>47305.3</v>
      </c>
    </row>
    <row r="254" spans="1:7" x14ac:dyDescent="0.25">
      <c r="A254" t="s">
        <v>30</v>
      </c>
      <c r="B254" s="3" t="s">
        <v>10</v>
      </c>
      <c r="C254" t="s">
        <v>20</v>
      </c>
      <c r="D254">
        <v>2</v>
      </c>
      <c r="E254" s="3" t="s">
        <v>8</v>
      </c>
      <c r="F254" s="3" t="s">
        <v>12</v>
      </c>
      <c r="G254">
        <v>44260.75</v>
      </c>
    </row>
    <row r="255" spans="1:7" x14ac:dyDescent="0.25">
      <c r="A255" t="s">
        <v>21</v>
      </c>
      <c r="B255" s="3" t="s">
        <v>10</v>
      </c>
      <c r="C255" t="s">
        <v>20</v>
      </c>
      <c r="D255">
        <v>3</v>
      </c>
      <c r="E255" s="3" t="s">
        <v>11</v>
      </c>
      <c r="F255" s="3" t="s">
        <v>9</v>
      </c>
      <c r="G255">
        <v>4260.74</v>
      </c>
    </row>
    <row r="256" spans="1:7" x14ac:dyDescent="0.25">
      <c r="A256" t="s">
        <v>24</v>
      </c>
      <c r="B256" s="3" t="s">
        <v>10</v>
      </c>
      <c r="C256" t="s">
        <v>20</v>
      </c>
      <c r="D256">
        <v>0</v>
      </c>
      <c r="E256" s="3" t="s">
        <v>8</v>
      </c>
      <c r="F256" s="3" t="s">
        <v>14</v>
      </c>
      <c r="G256">
        <v>41097.160000000003</v>
      </c>
    </row>
    <row r="257" spans="1:7" x14ac:dyDescent="0.25">
      <c r="A257" t="s">
        <v>30</v>
      </c>
      <c r="B257" s="3" t="s">
        <v>7</v>
      </c>
      <c r="C257" t="s">
        <v>18</v>
      </c>
      <c r="D257">
        <v>3</v>
      </c>
      <c r="E257" s="3" t="s">
        <v>11</v>
      </c>
      <c r="F257" s="3" t="s">
        <v>14</v>
      </c>
      <c r="G257">
        <v>13047.33</v>
      </c>
    </row>
    <row r="258" spans="1:7" x14ac:dyDescent="0.25">
      <c r="A258" t="s">
        <v>26</v>
      </c>
      <c r="B258" s="3" t="s">
        <v>10</v>
      </c>
      <c r="C258" t="s">
        <v>20</v>
      </c>
      <c r="D258">
        <v>0</v>
      </c>
      <c r="E258" s="3" t="s">
        <v>8</v>
      </c>
      <c r="F258" s="3" t="s">
        <v>13</v>
      </c>
      <c r="G258">
        <v>43921.18</v>
      </c>
    </row>
    <row r="259" spans="1:7" x14ac:dyDescent="0.25">
      <c r="A259" t="s">
        <v>25</v>
      </c>
      <c r="B259" s="3" t="s">
        <v>7</v>
      </c>
      <c r="C259" t="s">
        <v>29</v>
      </c>
      <c r="D259">
        <v>0</v>
      </c>
      <c r="E259" s="3" t="s">
        <v>11</v>
      </c>
      <c r="F259" s="3" t="s">
        <v>12</v>
      </c>
      <c r="G259">
        <v>5400.98</v>
      </c>
    </row>
    <row r="260" spans="1:7" x14ac:dyDescent="0.25">
      <c r="A260" t="s">
        <v>30</v>
      </c>
      <c r="B260" s="3" t="s">
        <v>10</v>
      </c>
      <c r="C260" t="s">
        <v>23</v>
      </c>
      <c r="D260">
        <v>4</v>
      </c>
      <c r="E260" s="3" t="s">
        <v>11</v>
      </c>
      <c r="F260" s="3" t="s">
        <v>13</v>
      </c>
      <c r="G260">
        <v>11520.1</v>
      </c>
    </row>
    <row r="261" spans="1:7" x14ac:dyDescent="0.25">
      <c r="A261" t="s">
        <v>17</v>
      </c>
      <c r="B261" s="3" t="s">
        <v>10</v>
      </c>
      <c r="C261" t="s">
        <v>20</v>
      </c>
      <c r="D261">
        <v>0</v>
      </c>
      <c r="E261" s="3" t="s">
        <v>8</v>
      </c>
      <c r="F261" s="3" t="s">
        <v>13</v>
      </c>
      <c r="G261">
        <v>33750.29</v>
      </c>
    </row>
    <row r="262" spans="1:7" x14ac:dyDescent="0.25">
      <c r="A262" t="s">
        <v>26</v>
      </c>
      <c r="B262" s="3" t="s">
        <v>7</v>
      </c>
      <c r="C262" t="s">
        <v>18</v>
      </c>
      <c r="D262">
        <v>0</v>
      </c>
      <c r="E262" s="3" t="s">
        <v>11</v>
      </c>
      <c r="F262" s="3" t="s">
        <v>9</v>
      </c>
      <c r="G262">
        <v>11837.16</v>
      </c>
    </row>
    <row r="263" spans="1:7" x14ac:dyDescent="0.25">
      <c r="A263" t="s">
        <v>17</v>
      </c>
      <c r="B263" s="3" t="s">
        <v>7</v>
      </c>
      <c r="C263" t="s">
        <v>18</v>
      </c>
      <c r="D263">
        <v>1</v>
      </c>
      <c r="E263" s="3" t="s">
        <v>8</v>
      </c>
      <c r="F263" s="3" t="s">
        <v>12</v>
      </c>
      <c r="G263">
        <v>17085.27</v>
      </c>
    </row>
    <row r="264" spans="1:7" x14ac:dyDescent="0.25">
      <c r="A264" t="s">
        <v>30</v>
      </c>
      <c r="B264" s="3" t="s">
        <v>10</v>
      </c>
      <c r="C264" t="s">
        <v>23</v>
      </c>
      <c r="D264">
        <v>3</v>
      </c>
      <c r="E264" s="3" t="s">
        <v>8</v>
      </c>
      <c r="F264" s="3" t="s">
        <v>14</v>
      </c>
      <c r="G264">
        <v>24869.84</v>
      </c>
    </row>
    <row r="265" spans="1:7" x14ac:dyDescent="0.25">
      <c r="A265" t="s">
        <v>17</v>
      </c>
      <c r="B265" s="3" t="s">
        <v>10</v>
      </c>
      <c r="C265" t="s">
        <v>28</v>
      </c>
      <c r="D265">
        <v>0</v>
      </c>
      <c r="E265" s="3" t="s">
        <v>8</v>
      </c>
      <c r="F265" s="3" t="s">
        <v>13</v>
      </c>
      <c r="G265">
        <v>36219.410000000003</v>
      </c>
    </row>
    <row r="266" spans="1:7" x14ac:dyDescent="0.25">
      <c r="A266" t="s">
        <v>30</v>
      </c>
      <c r="B266" s="3" t="s">
        <v>7</v>
      </c>
      <c r="C266" t="s">
        <v>28</v>
      </c>
      <c r="D266">
        <v>3</v>
      </c>
      <c r="E266" s="3" t="s">
        <v>11</v>
      </c>
      <c r="F266" s="3" t="s">
        <v>12</v>
      </c>
      <c r="G266">
        <v>20463</v>
      </c>
    </row>
    <row r="267" spans="1:7" x14ac:dyDescent="0.25">
      <c r="A267" t="s">
        <v>24</v>
      </c>
      <c r="B267" s="3" t="s">
        <v>10</v>
      </c>
      <c r="C267" t="s">
        <v>29</v>
      </c>
      <c r="D267">
        <v>3</v>
      </c>
      <c r="E267" s="3" t="s">
        <v>8</v>
      </c>
      <c r="F267" s="3" t="s">
        <v>12</v>
      </c>
      <c r="G267">
        <v>46151.12</v>
      </c>
    </row>
    <row r="268" spans="1:7" x14ac:dyDescent="0.25">
      <c r="A268" t="s">
        <v>25</v>
      </c>
      <c r="B268" s="3" t="s">
        <v>10</v>
      </c>
      <c r="C268" t="s">
        <v>23</v>
      </c>
      <c r="D268">
        <v>1</v>
      </c>
      <c r="E268" s="3" t="s">
        <v>8</v>
      </c>
      <c r="F268" s="3" t="s">
        <v>12</v>
      </c>
      <c r="G268">
        <v>17179.52</v>
      </c>
    </row>
    <row r="269" spans="1:7" x14ac:dyDescent="0.25">
      <c r="A269" t="s">
        <v>26</v>
      </c>
      <c r="B269" s="3" t="s">
        <v>7</v>
      </c>
      <c r="C269" t="s">
        <v>20</v>
      </c>
      <c r="D269">
        <v>3</v>
      </c>
      <c r="E269" s="3" t="s">
        <v>11</v>
      </c>
      <c r="F269" s="3" t="s">
        <v>14</v>
      </c>
      <c r="G269">
        <v>14590.63</v>
      </c>
    </row>
    <row r="270" spans="1:7" x14ac:dyDescent="0.25">
      <c r="A270" t="s">
        <v>32</v>
      </c>
      <c r="B270" s="3" t="s">
        <v>10</v>
      </c>
      <c r="C270" t="s">
        <v>20</v>
      </c>
      <c r="D270">
        <v>1</v>
      </c>
      <c r="E270" s="3" t="s">
        <v>11</v>
      </c>
      <c r="F270" s="3" t="s">
        <v>9</v>
      </c>
      <c r="G270">
        <v>7441.05</v>
      </c>
    </row>
    <row r="271" spans="1:7" x14ac:dyDescent="0.25">
      <c r="A271" t="s">
        <v>24</v>
      </c>
      <c r="B271" s="3" t="s">
        <v>10</v>
      </c>
      <c r="C271" t="s">
        <v>18</v>
      </c>
      <c r="D271">
        <v>1</v>
      </c>
      <c r="E271" s="3" t="s">
        <v>11</v>
      </c>
      <c r="F271" s="3" t="s">
        <v>14</v>
      </c>
      <c r="G271">
        <v>9282.48</v>
      </c>
    </row>
    <row r="272" spans="1:7" x14ac:dyDescent="0.25">
      <c r="A272" t="s">
        <v>19</v>
      </c>
      <c r="B272" s="3" t="s">
        <v>10</v>
      </c>
      <c r="C272" t="s">
        <v>18</v>
      </c>
      <c r="D272">
        <v>1</v>
      </c>
      <c r="E272" s="3" t="s">
        <v>11</v>
      </c>
      <c r="F272" s="3" t="s">
        <v>12</v>
      </c>
      <c r="G272">
        <v>1719.44</v>
      </c>
    </row>
    <row r="273" spans="1:7" x14ac:dyDescent="0.25">
      <c r="A273" t="s">
        <v>24</v>
      </c>
      <c r="B273" s="3" t="s">
        <v>10</v>
      </c>
      <c r="C273" t="s">
        <v>20</v>
      </c>
      <c r="D273">
        <v>2</v>
      </c>
      <c r="E273" s="3" t="s">
        <v>8</v>
      </c>
      <c r="F273" s="3" t="s">
        <v>9</v>
      </c>
      <c r="G273">
        <v>42856.84</v>
      </c>
    </row>
    <row r="274" spans="1:7" x14ac:dyDescent="0.25">
      <c r="A274" t="s">
        <v>32</v>
      </c>
      <c r="B274" s="3" t="s">
        <v>10</v>
      </c>
      <c r="C274" t="s">
        <v>28</v>
      </c>
      <c r="D274">
        <v>2</v>
      </c>
      <c r="E274" s="3" t="s">
        <v>11</v>
      </c>
      <c r="F274" s="3" t="s">
        <v>13</v>
      </c>
      <c r="G274">
        <v>7265.7</v>
      </c>
    </row>
    <row r="275" spans="1:7" x14ac:dyDescent="0.25">
      <c r="A275" t="s">
        <v>24</v>
      </c>
      <c r="B275" s="3" t="s">
        <v>10</v>
      </c>
      <c r="C275" t="s">
        <v>18</v>
      </c>
      <c r="D275">
        <v>1</v>
      </c>
      <c r="E275" s="3" t="s">
        <v>11</v>
      </c>
      <c r="F275" s="3" t="s">
        <v>14</v>
      </c>
      <c r="G275">
        <v>9617.66</v>
      </c>
    </row>
    <row r="276" spans="1:7" x14ac:dyDescent="0.25">
      <c r="A276" t="s">
        <v>17</v>
      </c>
      <c r="B276" s="3" t="s">
        <v>10</v>
      </c>
      <c r="C276" t="s">
        <v>18</v>
      </c>
      <c r="D276">
        <v>0</v>
      </c>
      <c r="E276" s="3" t="s">
        <v>11</v>
      </c>
      <c r="F276" s="3" t="s">
        <v>13</v>
      </c>
      <c r="G276">
        <v>2523.17</v>
      </c>
    </row>
    <row r="277" spans="1:7" x14ac:dyDescent="0.25">
      <c r="A277" t="s">
        <v>24</v>
      </c>
      <c r="B277" s="3" t="s">
        <v>7</v>
      </c>
      <c r="C277" t="s">
        <v>18</v>
      </c>
      <c r="D277">
        <v>2</v>
      </c>
      <c r="E277" s="3" t="s">
        <v>11</v>
      </c>
      <c r="F277" s="3" t="s">
        <v>14</v>
      </c>
      <c r="G277">
        <v>9715.84</v>
      </c>
    </row>
    <row r="278" spans="1:7" x14ac:dyDescent="0.25">
      <c r="A278" t="s">
        <v>17</v>
      </c>
      <c r="B278" s="3" t="s">
        <v>10</v>
      </c>
      <c r="C278" t="s">
        <v>23</v>
      </c>
      <c r="D278">
        <v>2</v>
      </c>
      <c r="E278" s="3" t="s">
        <v>11</v>
      </c>
      <c r="F278" s="3" t="s">
        <v>13</v>
      </c>
      <c r="G278">
        <v>2803.7</v>
      </c>
    </row>
    <row r="279" spans="1:7" x14ac:dyDescent="0.25">
      <c r="A279" t="s">
        <v>17</v>
      </c>
      <c r="B279" s="3" t="s">
        <v>7</v>
      </c>
      <c r="C279" t="s">
        <v>23</v>
      </c>
      <c r="D279">
        <v>0</v>
      </c>
      <c r="E279" s="3" t="s">
        <v>11</v>
      </c>
      <c r="F279" s="3" t="s">
        <v>9</v>
      </c>
      <c r="G279">
        <v>2150.4699999999998</v>
      </c>
    </row>
    <row r="280" spans="1:7" x14ac:dyDescent="0.25">
      <c r="A280" t="s">
        <v>26</v>
      </c>
      <c r="B280" s="3" t="s">
        <v>10</v>
      </c>
      <c r="C280" t="s">
        <v>20</v>
      </c>
      <c r="D280">
        <v>2</v>
      </c>
      <c r="E280" s="3" t="s">
        <v>11</v>
      </c>
      <c r="F280" s="3" t="s">
        <v>12</v>
      </c>
      <c r="G280">
        <v>12928.79</v>
      </c>
    </row>
    <row r="281" spans="1:7" x14ac:dyDescent="0.25">
      <c r="A281" t="s">
        <v>30</v>
      </c>
      <c r="B281" s="3" t="s">
        <v>7</v>
      </c>
      <c r="C281" t="s">
        <v>23</v>
      </c>
      <c r="D281">
        <v>1</v>
      </c>
      <c r="E281" s="3" t="s">
        <v>11</v>
      </c>
      <c r="F281" s="3" t="s">
        <v>12</v>
      </c>
      <c r="G281">
        <v>9855.1299999999992</v>
      </c>
    </row>
    <row r="282" spans="1:7" x14ac:dyDescent="0.25">
      <c r="A282" t="s">
        <v>25</v>
      </c>
      <c r="B282" s="3" t="s">
        <v>7</v>
      </c>
      <c r="C282" t="s">
        <v>18</v>
      </c>
      <c r="D282">
        <v>1</v>
      </c>
      <c r="E282" s="3" t="s">
        <v>8</v>
      </c>
      <c r="F282" s="3" t="s">
        <v>14</v>
      </c>
      <c r="G282">
        <v>22331.57</v>
      </c>
    </row>
    <row r="283" spans="1:7" x14ac:dyDescent="0.25">
      <c r="A283" t="s">
        <v>30</v>
      </c>
      <c r="B283" s="3" t="s">
        <v>10</v>
      </c>
      <c r="C283" t="s">
        <v>29</v>
      </c>
      <c r="D283">
        <v>3</v>
      </c>
      <c r="E283" s="3" t="s">
        <v>8</v>
      </c>
      <c r="F283" s="3" t="s">
        <v>14</v>
      </c>
      <c r="G283">
        <v>48549.18</v>
      </c>
    </row>
    <row r="284" spans="1:7" x14ac:dyDescent="0.25">
      <c r="A284" t="s">
        <v>21</v>
      </c>
      <c r="B284" s="3" t="s">
        <v>10</v>
      </c>
      <c r="C284" t="s">
        <v>18</v>
      </c>
      <c r="D284">
        <v>1</v>
      </c>
      <c r="E284" s="3" t="s">
        <v>11</v>
      </c>
      <c r="F284" s="3" t="s">
        <v>14</v>
      </c>
      <c r="G284">
        <v>4237.13</v>
      </c>
    </row>
    <row r="285" spans="1:7" x14ac:dyDescent="0.25">
      <c r="A285" t="s">
        <v>30</v>
      </c>
      <c r="B285" s="3" t="s">
        <v>7</v>
      </c>
      <c r="C285" t="s">
        <v>20</v>
      </c>
      <c r="D285">
        <v>1</v>
      </c>
      <c r="E285" s="3" t="s">
        <v>11</v>
      </c>
      <c r="F285" s="3" t="s">
        <v>14</v>
      </c>
      <c r="G285">
        <v>11879.1</v>
      </c>
    </row>
    <row r="286" spans="1:7" x14ac:dyDescent="0.25">
      <c r="A286" t="s">
        <v>30</v>
      </c>
      <c r="B286" s="3" t="s">
        <v>7</v>
      </c>
      <c r="C286" t="s">
        <v>20</v>
      </c>
      <c r="D286">
        <v>0</v>
      </c>
      <c r="E286" s="3" t="s">
        <v>11</v>
      </c>
      <c r="F286" s="3" t="s">
        <v>9</v>
      </c>
      <c r="G286">
        <v>9625.92</v>
      </c>
    </row>
    <row r="287" spans="1:7" x14ac:dyDescent="0.25">
      <c r="A287" t="s">
        <v>24</v>
      </c>
      <c r="B287" s="3" t="s">
        <v>10</v>
      </c>
      <c r="C287" t="s">
        <v>18</v>
      </c>
      <c r="D287">
        <v>1</v>
      </c>
      <c r="E287" s="3" t="s">
        <v>11</v>
      </c>
      <c r="F287" s="3" t="s">
        <v>12</v>
      </c>
      <c r="G287">
        <v>7742.11</v>
      </c>
    </row>
    <row r="288" spans="1:7" x14ac:dyDescent="0.25">
      <c r="A288" t="s">
        <v>24</v>
      </c>
      <c r="B288" s="3" t="s">
        <v>7</v>
      </c>
      <c r="C288" t="s">
        <v>29</v>
      </c>
      <c r="D288">
        <v>2</v>
      </c>
      <c r="E288" s="3" t="s">
        <v>11</v>
      </c>
      <c r="F288" s="3" t="s">
        <v>14</v>
      </c>
      <c r="G288">
        <v>9432.93</v>
      </c>
    </row>
    <row r="289" spans="1:7" x14ac:dyDescent="0.25">
      <c r="A289" t="s">
        <v>27</v>
      </c>
      <c r="B289" s="3" t="s">
        <v>7</v>
      </c>
      <c r="C289" t="s">
        <v>18</v>
      </c>
      <c r="D289">
        <v>0</v>
      </c>
      <c r="E289" s="3" t="s">
        <v>11</v>
      </c>
      <c r="F289" s="3" t="s">
        <v>13</v>
      </c>
      <c r="G289">
        <v>14256.19</v>
      </c>
    </row>
    <row r="290" spans="1:7" x14ac:dyDescent="0.25">
      <c r="A290" t="s">
        <v>26</v>
      </c>
      <c r="B290" s="3" t="s">
        <v>7</v>
      </c>
      <c r="C290" t="s">
        <v>28</v>
      </c>
      <c r="D290">
        <v>1</v>
      </c>
      <c r="E290" s="3" t="s">
        <v>8</v>
      </c>
      <c r="F290" s="3" t="s">
        <v>14</v>
      </c>
      <c r="G290">
        <v>47896.79</v>
      </c>
    </row>
    <row r="291" spans="1:7" x14ac:dyDescent="0.25">
      <c r="A291" t="s">
        <v>30</v>
      </c>
      <c r="B291" s="3" t="s">
        <v>10</v>
      </c>
      <c r="C291" t="s">
        <v>18</v>
      </c>
      <c r="D291">
        <v>3</v>
      </c>
      <c r="E291" s="3" t="s">
        <v>11</v>
      </c>
      <c r="F291" s="3" t="s">
        <v>12</v>
      </c>
      <c r="G291">
        <v>25992.82</v>
      </c>
    </row>
    <row r="292" spans="1:7" x14ac:dyDescent="0.25">
      <c r="A292" t="s">
        <v>21</v>
      </c>
      <c r="B292" s="3" t="s">
        <v>7</v>
      </c>
      <c r="C292" t="s">
        <v>20</v>
      </c>
      <c r="D292">
        <v>0</v>
      </c>
      <c r="E292" s="3" t="s">
        <v>11</v>
      </c>
      <c r="F292" s="3" t="s">
        <v>9</v>
      </c>
      <c r="G292">
        <v>3172.02</v>
      </c>
    </row>
    <row r="293" spans="1:7" x14ac:dyDescent="0.25">
      <c r="A293" t="s">
        <v>21</v>
      </c>
      <c r="B293" s="3" t="s">
        <v>10</v>
      </c>
      <c r="C293" t="s">
        <v>18</v>
      </c>
      <c r="D293">
        <v>1</v>
      </c>
      <c r="E293" s="3" t="s">
        <v>11</v>
      </c>
      <c r="F293" s="3" t="s">
        <v>14</v>
      </c>
      <c r="G293">
        <v>20277.810000000001</v>
      </c>
    </row>
    <row r="294" spans="1:7" x14ac:dyDescent="0.25">
      <c r="A294" t="s">
        <v>17</v>
      </c>
      <c r="B294" s="3" t="s">
        <v>10</v>
      </c>
      <c r="C294" t="s">
        <v>29</v>
      </c>
      <c r="D294">
        <v>2</v>
      </c>
      <c r="E294" s="3" t="s">
        <v>8</v>
      </c>
      <c r="F294" s="3" t="s">
        <v>12</v>
      </c>
      <c r="G294">
        <v>42112.24</v>
      </c>
    </row>
    <row r="295" spans="1:7" x14ac:dyDescent="0.25">
      <c r="A295" t="s">
        <v>17</v>
      </c>
      <c r="B295" s="3" t="s">
        <v>7</v>
      </c>
      <c r="C295" t="s">
        <v>18</v>
      </c>
      <c r="D295">
        <v>0</v>
      </c>
      <c r="E295" s="3" t="s">
        <v>11</v>
      </c>
      <c r="F295" s="3" t="s">
        <v>12</v>
      </c>
      <c r="G295">
        <v>2156.75</v>
      </c>
    </row>
    <row r="296" spans="1:7" x14ac:dyDescent="0.25">
      <c r="A296" t="s">
        <v>17</v>
      </c>
      <c r="B296" s="3" t="s">
        <v>10</v>
      </c>
      <c r="C296" t="s">
        <v>18</v>
      </c>
      <c r="D296">
        <v>3</v>
      </c>
      <c r="E296" s="3" t="s">
        <v>11</v>
      </c>
      <c r="F296" s="3" t="s">
        <v>9</v>
      </c>
      <c r="G296">
        <v>3906.13</v>
      </c>
    </row>
    <row r="297" spans="1:7" x14ac:dyDescent="0.25">
      <c r="A297" t="s">
        <v>19</v>
      </c>
      <c r="B297" s="3" t="s">
        <v>10</v>
      </c>
      <c r="C297" t="s">
        <v>23</v>
      </c>
      <c r="D297">
        <v>0</v>
      </c>
      <c r="E297" s="3" t="s">
        <v>11</v>
      </c>
      <c r="F297" s="3" t="s">
        <v>14</v>
      </c>
      <c r="G297">
        <v>1704.57</v>
      </c>
    </row>
    <row r="298" spans="1:7" x14ac:dyDescent="0.25">
      <c r="A298" t="s">
        <v>17</v>
      </c>
      <c r="B298" s="3" t="s">
        <v>10</v>
      </c>
      <c r="C298" t="s">
        <v>18</v>
      </c>
      <c r="D298">
        <v>0</v>
      </c>
      <c r="E298" s="3" t="s">
        <v>8</v>
      </c>
      <c r="F298" s="3" t="s">
        <v>9</v>
      </c>
      <c r="G298">
        <v>16297.85</v>
      </c>
    </row>
    <row r="299" spans="1:7" x14ac:dyDescent="0.25">
      <c r="A299" t="s">
        <v>24</v>
      </c>
      <c r="B299" s="3" t="s">
        <v>10</v>
      </c>
      <c r="C299" t="s">
        <v>18</v>
      </c>
      <c r="D299">
        <v>1</v>
      </c>
      <c r="E299" s="3" t="s">
        <v>8</v>
      </c>
      <c r="F299" s="3" t="s">
        <v>12</v>
      </c>
      <c r="G299">
        <v>21978.68</v>
      </c>
    </row>
    <row r="300" spans="1:7" x14ac:dyDescent="0.25">
      <c r="A300" t="s">
        <v>22</v>
      </c>
      <c r="B300" s="3" t="s">
        <v>10</v>
      </c>
      <c r="C300" t="s">
        <v>20</v>
      </c>
      <c r="D300">
        <v>3</v>
      </c>
      <c r="E300" s="3" t="s">
        <v>8</v>
      </c>
      <c r="F300" s="3" t="s">
        <v>13</v>
      </c>
      <c r="G300">
        <v>38746.36</v>
      </c>
    </row>
    <row r="301" spans="1:7" x14ac:dyDescent="0.25">
      <c r="A301" t="s">
        <v>24</v>
      </c>
      <c r="B301" s="3" t="s">
        <v>7</v>
      </c>
      <c r="C301" t="s">
        <v>18</v>
      </c>
      <c r="D301">
        <v>1</v>
      </c>
      <c r="E301" s="3" t="s">
        <v>11</v>
      </c>
      <c r="F301" s="3" t="s">
        <v>13</v>
      </c>
      <c r="G301">
        <v>9249.5</v>
      </c>
    </row>
    <row r="302" spans="1:7" x14ac:dyDescent="0.25">
      <c r="A302" t="s">
        <v>25</v>
      </c>
      <c r="B302" s="3" t="s">
        <v>10</v>
      </c>
      <c r="C302" t="s">
        <v>18</v>
      </c>
      <c r="D302">
        <v>3</v>
      </c>
      <c r="E302" s="3" t="s">
        <v>11</v>
      </c>
      <c r="F302" s="3" t="s">
        <v>14</v>
      </c>
      <c r="G302">
        <v>6746.74</v>
      </c>
    </row>
    <row r="303" spans="1:7" x14ac:dyDescent="0.25">
      <c r="A303" t="s">
        <v>30</v>
      </c>
      <c r="B303" s="3" t="s">
        <v>7</v>
      </c>
      <c r="C303" t="s">
        <v>23</v>
      </c>
      <c r="D303">
        <v>3</v>
      </c>
      <c r="E303" s="3" t="s">
        <v>8</v>
      </c>
      <c r="F303" s="3" t="s">
        <v>14</v>
      </c>
      <c r="G303">
        <v>24873.38</v>
      </c>
    </row>
    <row r="304" spans="1:7" x14ac:dyDescent="0.25">
      <c r="A304" t="s">
        <v>26</v>
      </c>
      <c r="B304" s="3" t="s">
        <v>7</v>
      </c>
      <c r="C304" t="s">
        <v>28</v>
      </c>
      <c r="D304">
        <v>2</v>
      </c>
      <c r="E304" s="3" t="s">
        <v>11</v>
      </c>
      <c r="F304" s="3" t="s">
        <v>12</v>
      </c>
      <c r="G304">
        <v>12265.51</v>
      </c>
    </row>
    <row r="305" spans="1:7" x14ac:dyDescent="0.25">
      <c r="A305" t="s">
        <v>21</v>
      </c>
      <c r="B305" s="3" t="s">
        <v>7</v>
      </c>
      <c r="C305" t="s">
        <v>20</v>
      </c>
      <c r="D305">
        <v>2</v>
      </c>
      <c r="E305" s="3" t="s">
        <v>11</v>
      </c>
      <c r="F305" s="3" t="s">
        <v>12</v>
      </c>
      <c r="G305">
        <v>4349.46</v>
      </c>
    </row>
    <row r="306" spans="1:7" x14ac:dyDescent="0.25">
      <c r="A306" t="s">
        <v>26</v>
      </c>
      <c r="B306" s="3" t="s">
        <v>7</v>
      </c>
      <c r="C306" t="s">
        <v>28</v>
      </c>
      <c r="D306">
        <v>2</v>
      </c>
      <c r="E306" s="3" t="s">
        <v>11</v>
      </c>
      <c r="F306" s="3" t="s">
        <v>9</v>
      </c>
      <c r="G306">
        <v>12646.21</v>
      </c>
    </row>
    <row r="307" spans="1:7" x14ac:dyDescent="0.25">
      <c r="A307" t="s">
        <v>21</v>
      </c>
      <c r="B307" s="3" t="s">
        <v>10</v>
      </c>
      <c r="C307" t="s">
        <v>20</v>
      </c>
      <c r="D307">
        <v>2</v>
      </c>
      <c r="E307" s="3" t="s">
        <v>11</v>
      </c>
      <c r="F307" s="3" t="s">
        <v>13</v>
      </c>
      <c r="G307">
        <v>19442.349999999999</v>
      </c>
    </row>
    <row r="308" spans="1:7" x14ac:dyDescent="0.25">
      <c r="A308" t="s">
        <v>21</v>
      </c>
      <c r="B308" s="3" t="s">
        <v>7</v>
      </c>
      <c r="C308" t="s">
        <v>18</v>
      </c>
      <c r="D308">
        <v>2</v>
      </c>
      <c r="E308" s="3" t="s">
        <v>11</v>
      </c>
      <c r="F308" s="3" t="s">
        <v>9</v>
      </c>
      <c r="G308">
        <v>20177.669999999998</v>
      </c>
    </row>
    <row r="309" spans="1:7" x14ac:dyDescent="0.25">
      <c r="A309" t="s">
        <v>21</v>
      </c>
      <c r="B309" s="3" t="s">
        <v>7</v>
      </c>
      <c r="C309" t="s">
        <v>20</v>
      </c>
      <c r="D309">
        <v>1</v>
      </c>
      <c r="E309" s="3" t="s">
        <v>11</v>
      </c>
      <c r="F309" s="3" t="s">
        <v>12</v>
      </c>
      <c r="G309">
        <v>4151.03</v>
      </c>
    </row>
    <row r="310" spans="1:7" x14ac:dyDescent="0.25">
      <c r="A310" t="s">
        <v>26</v>
      </c>
      <c r="B310" s="3" t="s">
        <v>10</v>
      </c>
      <c r="C310" t="s">
        <v>20</v>
      </c>
      <c r="D310">
        <v>0</v>
      </c>
      <c r="E310" s="3" t="s">
        <v>11</v>
      </c>
      <c r="F310" s="3" t="s">
        <v>14</v>
      </c>
      <c r="G310">
        <v>11944.59</v>
      </c>
    </row>
    <row r="311" spans="1:7" x14ac:dyDescent="0.25">
      <c r="A311" t="s">
        <v>32</v>
      </c>
      <c r="B311" s="3" t="s">
        <v>7</v>
      </c>
      <c r="C311" t="s">
        <v>20</v>
      </c>
      <c r="D311">
        <v>2</v>
      </c>
      <c r="E311" s="3" t="s">
        <v>11</v>
      </c>
      <c r="F311" s="3" t="s">
        <v>13</v>
      </c>
      <c r="G311">
        <v>7749.16</v>
      </c>
    </row>
    <row r="312" spans="1:7" x14ac:dyDescent="0.25">
      <c r="A312" t="s">
        <v>24</v>
      </c>
      <c r="B312" s="3" t="s">
        <v>10</v>
      </c>
      <c r="C312" t="s">
        <v>18</v>
      </c>
      <c r="D312">
        <v>0</v>
      </c>
      <c r="E312" s="3" t="s">
        <v>11</v>
      </c>
      <c r="F312" s="3" t="s">
        <v>9</v>
      </c>
      <c r="G312">
        <v>8444.4699999999993</v>
      </c>
    </row>
    <row r="313" spans="1:7" x14ac:dyDescent="0.25">
      <c r="A313" t="s">
        <v>17</v>
      </c>
      <c r="B313" s="3" t="s">
        <v>7</v>
      </c>
      <c r="C313" t="s">
        <v>23</v>
      </c>
      <c r="D313">
        <v>0</v>
      </c>
      <c r="E313" s="3" t="s">
        <v>11</v>
      </c>
      <c r="F313" s="3" t="s">
        <v>9</v>
      </c>
      <c r="G313">
        <v>1737.38</v>
      </c>
    </row>
    <row r="314" spans="1:7" x14ac:dyDescent="0.25">
      <c r="A314" t="s">
        <v>32</v>
      </c>
      <c r="B314" s="3" t="s">
        <v>10</v>
      </c>
      <c r="C314" t="s">
        <v>28</v>
      </c>
      <c r="D314">
        <v>3</v>
      </c>
      <c r="E314" s="3" t="s">
        <v>8</v>
      </c>
      <c r="F314" s="3" t="s">
        <v>12</v>
      </c>
      <c r="G314">
        <v>42124.52</v>
      </c>
    </row>
    <row r="315" spans="1:7" x14ac:dyDescent="0.25">
      <c r="A315" t="s">
        <v>24</v>
      </c>
      <c r="B315" s="3" t="s">
        <v>10</v>
      </c>
      <c r="C315" t="s">
        <v>28</v>
      </c>
      <c r="D315">
        <v>0</v>
      </c>
      <c r="E315" s="3" t="s">
        <v>11</v>
      </c>
      <c r="F315" s="3" t="s">
        <v>12</v>
      </c>
      <c r="G315">
        <v>8124.41</v>
      </c>
    </row>
    <row r="316" spans="1:7" x14ac:dyDescent="0.25">
      <c r="A316" t="s">
        <v>21</v>
      </c>
      <c r="B316" s="3" t="s">
        <v>7</v>
      </c>
      <c r="C316" t="s">
        <v>20</v>
      </c>
      <c r="D316">
        <v>0</v>
      </c>
      <c r="E316" s="3" t="s">
        <v>8</v>
      </c>
      <c r="F316" s="3" t="s">
        <v>9</v>
      </c>
      <c r="G316">
        <v>34838.870000000003</v>
      </c>
    </row>
    <row r="317" spans="1:7" x14ac:dyDescent="0.25">
      <c r="A317" t="s">
        <v>30</v>
      </c>
      <c r="B317" s="3" t="s">
        <v>10</v>
      </c>
      <c r="C317" t="s">
        <v>20</v>
      </c>
      <c r="D317">
        <v>0</v>
      </c>
      <c r="E317" s="3" t="s">
        <v>11</v>
      </c>
      <c r="F317" s="3" t="s">
        <v>14</v>
      </c>
      <c r="G317">
        <v>9722.77</v>
      </c>
    </row>
    <row r="318" spans="1:7" x14ac:dyDescent="0.25">
      <c r="A318" t="s">
        <v>24</v>
      </c>
      <c r="B318" s="3" t="s">
        <v>10</v>
      </c>
      <c r="C318" t="s">
        <v>20</v>
      </c>
      <c r="D318">
        <v>0</v>
      </c>
      <c r="E318" s="3" t="s">
        <v>11</v>
      </c>
      <c r="F318" s="3" t="s">
        <v>13</v>
      </c>
      <c r="G318">
        <v>8835.26</v>
      </c>
    </row>
    <row r="319" spans="1:7" x14ac:dyDescent="0.25">
      <c r="A319" t="s">
        <v>30</v>
      </c>
      <c r="B319" s="3" t="s">
        <v>10</v>
      </c>
      <c r="C319" t="s">
        <v>20</v>
      </c>
      <c r="D319">
        <v>0</v>
      </c>
      <c r="E319" s="3" t="s">
        <v>11</v>
      </c>
      <c r="F319" s="3" t="s">
        <v>14</v>
      </c>
      <c r="G319">
        <v>10435.07</v>
      </c>
    </row>
    <row r="320" spans="1:7" x14ac:dyDescent="0.25">
      <c r="A320" t="s">
        <v>32</v>
      </c>
      <c r="B320" s="3" t="s">
        <v>7</v>
      </c>
      <c r="C320" t="s">
        <v>18</v>
      </c>
      <c r="D320">
        <v>0</v>
      </c>
      <c r="E320" s="3" t="s">
        <v>11</v>
      </c>
      <c r="F320" s="3" t="s">
        <v>13</v>
      </c>
      <c r="G320">
        <v>7421.19</v>
      </c>
    </row>
    <row r="321" spans="1:7" x14ac:dyDescent="0.25">
      <c r="A321" t="s">
        <v>22</v>
      </c>
      <c r="B321" s="3" t="s">
        <v>10</v>
      </c>
      <c r="C321" t="s">
        <v>28</v>
      </c>
      <c r="D321">
        <v>1</v>
      </c>
      <c r="E321" s="3" t="s">
        <v>11</v>
      </c>
      <c r="F321" s="3" t="s">
        <v>14</v>
      </c>
      <c r="G321">
        <v>4667.6099999999997</v>
      </c>
    </row>
    <row r="322" spans="1:7" x14ac:dyDescent="0.25">
      <c r="A322" t="s">
        <v>22</v>
      </c>
      <c r="B322" s="3" t="s">
        <v>10</v>
      </c>
      <c r="C322" t="s">
        <v>18</v>
      </c>
      <c r="D322">
        <v>1</v>
      </c>
      <c r="E322" s="3" t="s">
        <v>11</v>
      </c>
      <c r="F322" s="3" t="s">
        <v>13</v>
      </c>
      <c r="G322">
        <v>4894.75</v>
      </c>
    </row>
    <row r="323" spans="1:7" x14ac:dyDescent="0.25">
      <c r="A323" t="s">
        <v>21</v>
      </c>
      <c r="B323" s="3" t="s">
        <v>7</v>
      </c>
      <c r="C323" t="s">
        <v>18</v>
      </c>
      <c r="D323">
        <v>4</v>
      </c>
      <c r="E323" s="3" t="s">
        <v>11</v>
      </c>
      <c r="F323" s="3" t="s">
        <v>14</v>
      </c>
      <c r="G323">
        <v>24671.66</v>
      </c>
    </row>
    <row r="324" spans="1:7" x14ac:dyDescent="0.25">
      <c r="A324" t="s">
        <v>22</v>
      </c>
      <c r="B324" s="3" t="s">
        <v>10</v>
      </c>
      <c r="C324" t="s">
        <v>20</v>
      </c>
      <c r="D324">
        <v>0</v>
      </c>
      <c r="E324" s="3" t="s">
        <v>8</v>
      </c>
      <c r="F324" s="3" t="s">
        <v>9</v>
      </c>
      <c r="G324">
        <v>35491.64</v>
      </c>
    </row>
    <row r="325" spans="1:7" x14ac:dyDescent="0.25">
      <c r="A325" t="s">
        <v>26</v>
      </c>
      <c r="B325" s="3" t="s">
        <v>10</v>
      </c>
      <c r="C325" t="s">
        <v>29</v>
      </c>
      <c r="D325">
        <v>0</v>
      </c>
      <c r="E325" s="3" t="s">
        <v>11</v>
      </c>
      <c r="F325" s="3" t="s">
        <v>14</v>
      </c>
      <c r="G325">
        <v>11566.3</v>
      </c>
    </row>
    <row r="326" spans="1:7" x14ac:dyDescent="0.25">
      <c r="A326" t="s">
        <v>21</v>
      </c>
      <c r="B326" s="3" t="s">
        <v>10</v>
      </c>
      <c r="C326" t="s">
        <v>18</v>
      </c>
      <c r="D326">
        <v>0</v>
      </c>
      <c r="E326" s="3" t="s">
        <v>11</v>
      </c>
      <c r="F326" s="3" t="s">
        <v>9</v>
      </c>
      <c r="G326">
        <v>2866.09</v>
      </c>
    </row>
    <row r="327" spans="1:7" x14ac:dyDescent="0.25">
      <c r="A327" t="s">
        <v>25</v>
      </c>
      <c r="B327" s="3" t="s">
        <v>10</v>
      </c>
      <c r="C327" t="s">
        <v>20</v>
      </c>
      <c r="D327">
        <v>1</v>
      </c>
      <c r="E327" s="3" t="s">
        <v>11</v>
      </c>
      <c r="F327" s="3" t="s">
        <v>14</v>
      </c>
      <c r="G327">
        <v>6600.21</v>
      </c>
    </row>
    <row r="328" spans="1:7" x14ac:dyDescent="0.25">
      <c r="A328" t="s">
        <v>21</v>
      </c>
      <c r="B328" s="3" t="s">
        <v>7</v>
      </c>
      <c r="C328" t="s">
        <v>23</v>
      </c>
      <c r="D328">
        <v>1</v>
      </c>
      <c r="E328" s="3" t="s">
        <v>11</v>
      </c>
      <c r="F328" s="3" t="s">
        <v>12</v>
      </c>
      <c r="G328">
        <v>3561.89</v>
      </c>
    </row>
    <row r="329" spans="1:7" x14ac:dyDescent="0.25">
      <c r="A329" t="s">
        <v>32</v>
      </c>
      <c r="B329" s="3" t="s">
        <v>10</v>
      </c>
      <c r="C329" t="s">
        <v>28</v>
      </c>
      <c r="D329">
        <v>2</v>
      </c>
      <c r="E329" s="3" t="s">
        <v>8</v>
      </c>
      <c r="F329" s="3" t="s">
        <v>13</v>
      </c>
      <c r="G329">
        <v>42760.5</v>
      </c>
    </row>
    <row r="330" spans="1:7" x14ac:dyDescent="0.25">
      <c r="A330" t="s">
        <v>27</v>
      </c>
      <c r="B330" s="3" t="s">
        <v>7</v>
      </c>
      <c r="C330" t="s">
        <v>20</v>
      </c>
      <c r="D330">
        <v>1</v>
      </c>
      <c r="E330" s="3" t="s">
        <v>8</v>
      </c>
      <c r="F330" s="3" t="s">
        <v>9</v>
      </c>
      <c r="G330">
        <v>47928.03</v>
      </c>
    </row>
    <row r="331" spans="1:7" x14ac:dyDescent="0.25">
      <c r="A331" t="s">
        <v>30</v>
      </c>
      <c r="B331" s="3" t="s">
        <v>10</v>
      </c>
      <c r="C331" t="s">
        <v>28</v>
      </c>
      <c r="D331">
        <v>0</v>
      </c>
      <c r="E331" s="3" t="s">
        <v>11</v>
      </c>
      <c r="F331" s="3" t="s">
        <v>9</v>
      </c>
      <c r="G331">
        <v>9144.56</v>
      </c>
    </row>
    <row r="332" spans="1:7" x14ac:dyDescent="0.25">
      <c r="A332" t="s">
        <v>27</v>
      </c>
      <c r="B332" s="3" t="s">
        <v>7</v>
      </c>
      <c r="C332" t="s">
        <v>28</v>
      </c>
      <c r="D332">
        <v>1</v>
      </c>
      <c r="E332" s="3" t="s">
        <v>8</v>
      </c>
      <c r="F332" s="3" t="s">
        <v>14</v>
      </c>
      <c r="G332">
        <v>48517.56</v>
      </c>
    </row>
    <row r="333" spans="1:7" x14ac:dyDescent="0.25">
      <c r="A333" t="s">
        <v>30</v>
      </c>
      <c r="B333" s="3" t="s">
        <v>10</v>
      </c>
      <c r="C333" t="s">
        <v>18</v>
      </c>
      <c r="D333">
        <v>0</v>
      </c>
      <c r="E333" s="3" t="s">
        <v>8</v>
      </c>
      <c r="F333" s="3" t="s">
        <v>13</v>
      </c>
      <c r="G333">
        <v>24393.62</v>
      </c>
    </row>
    <row r="334" spans="1:7" x14ac:dyDescent="0.25">
      <c r="A334" t="s">
        <v>27</v>
      </c>
      <c r="B334" s="3" t="s">
        <v>7</v>
      </c>
      <c r="C334" t="s">
        <v>20</v>
      </c>
      <c r="D334">
        <v>0</v>
      </c>
      <c r="E334" s="3" t="s">
        <v>11</v>
      </c>
      <c r="F334" s="3" t="s">
        <v>13</v>
      </c>
      <c r="G334">
        <v>13429.04</v>
      </c>
    </row>
    <row r="335" spans="1:7" x14ac:dyDescent="0.25">
      <c r="A335" t="s">
        <v>26</v>
      </c>
      <c r="B335" s="3" t="s">
        <v>7</v>
      </c>
      <c r="C335" t="s">
        <v>18</v>
      </c>
      <c r="D335">
        <v>0</v>
      </c>
      <c r="E335" s="3" t="s">
        <v>11</v>
      </c>
      <c r="F335" s="3" t="s">
        <v>14</v>
      </c>
      <c r="G335">
        <v>11658.38</v>
      </c>
    </row>
    <row r="336" spans="1:7" x14ac:dyDescent="0.25">
      <c r="A336" t="s">
        <v>32</v>
      </c>
      <c r="B336" s="3" t="s">
        <v>7</v>
      </c>
      <c r="C336" t="s">
        <v>28</v>
      </c>
      <c r="D336">
        <v>2</v>
      </c>
      <c r="E336" s="3" t="s">
        <v>11</v>
      </c>
      <c r="F336" s="3" t="s">
        <v>14</v>
      </c>
      <c r="G336">
        <v>19144.580000000002</v>
      </c>
    </row>
    <row r="337" spans="1:7" x14ac:dyDescent="0.25">
      <c r="A337" t="s">
        <v>27</v>
      </c>
      <c r="B337" s="3" t="s">
        <v>10</v>
      </c>
      <c r="C337" t="s">
        <v>20</v>
      </c>
      <c r="D337">
        <v>0</v>
      </c>
      <c r="E337" s="3" t="s">
        <v>11</v>
      </c>
      <c r="F337" s="3" t="s">
        <v>9</v>
      </c>
      <c r="G337">
        <v>13822.8</v>
      </c>
    </row>
    <row r="338" spans="1:7" x14ac:dyDescent="0.25">
      <c r="A338" t="s">
        <v>26</v>
      </c>
      <c r="B338" s="3" t="s">
        <v>10</v>
      </c>
      <c r="C338" t="s">
        <v>18</v>
      </c>
      <c r="D338">
        <v>0</v>
      </c>
      <c r="E338" s="3" t="s">
        <v>11</v>
      </c>
      <c r="F338" s="3" t="s">
        <v>12</v>
      </c>
      <c r="G338">
        <v>12142.58</v>
      </c>
    </row>
    <row r="339" spans="1:7" x14ac:dyDescent="0.25">
      <c r="A339" t="s">
        <v>27</v>
      </c>
      <c r="B339" s="3" t="s">
        <v>10</v>
      </c>
      <c r="C339" t="s">
        <v>18</v>
      </c>
      <c r="D339">
        <v>1</v>
      </c>
      <c r="E339" s="3" t="s">
        <v>11</v>
      </c>
      <c r="F339" s="3" t="s">
        <v>13</v>
      </c>
      <c r="G339">
        <v>13937.67</v>
      </c>
    </row>
    <row r="340" spans="1:7" x14ac:dyDescent="0.25">
      <c r="A340" t="s">
        <v>24</v>
      </c>
      <c r="B340" s="3" t="s">
        <v>10</v>
      </c>
      <c r="C340" t="s">
        <v>20</v>
      </c>
      <c r="D340">
        <v>1</v>
      </c>
      <c r="E340" s="3" t="s">
        <v>8</v>
      </c>
      <c r="F340" s="3" t="s">
        <v>14</v>
      </c>
      <c r="G340">
        <v>41919.1</v>
      </c>
    </row>
    <row r="341" spans="1:7" x14ac:dyDescent="0.25">
      <c r="A341" t="s">
        <v>24</v>
      </c>
      <c r="B341" s="3" t="s">
        <v>7</v>
      </c>
      <c r="C341" t="s">
        <v>18</v>
      </c>
      <c r="D341">
        <v>1</v>
      </c>
      <c r="E341" s="3" t="s">
        <v>11</v>
      </c>
      <c r="F341" s="3" t="s">
        <v>12</v>
      </c>
      <c r="G341">
        <v>8232.64</v>
      </c>
    </row>
    <row r="342" spans="1:7" x14ac:dyDescent="0.25">
      <c r="A342" t="s">
        <v>17</v>
      </c>
      <c r="B342" s="3" t="s">
        <v>7</v>
      </c>
      <c r="C342" t="s">
        <v>18</v>
      </c>
      <c r="D342">
        <v>0</v>
      </c>
      <c r="E342" s="3" t="s">
        <v>11</v>
      </c>
      <c r="F342" s="3" t="s">
        <v>9</v>
      </c>
      <c r="G342">
        <v>18955.22</v>
      </c>
    </row>
    <row r="343" spans="1:7" x14ac:dyDescent="0.25">
      <c r="A343" t="s">
        <v>27</v>
      </c>
      <c r="B343" s="3" t="s">
        <v>10</v>
      </c>
      <c r="C343" t="s">
        <v>20</v>
      </c>
      <c r="D343">
        <v>0</v>
      </c>
      <c r="E343" s="3" t="s">
        <v>11</v>
      </c>
      <c r="F343" s="3" t="s">
        <v>13</v>
      </c>
      <c r="G343">
        <v>13352.1</v>
      </c>
    </row>
    <row r="344" spans="1:7" x14ac:dyDescent="0.25">
      <c r="A344" t="s">
        <v>26</v>
      </c>
      <c r="B344" s="3" t="s">
        <v>7</v>
      </c>
      <c r="C344" t="s">
        <v>18</v>
      </c>
      <c r="D344">
        <v>0</v>
      </c>
      <c r="E344" s="3" t="s">
        <v>11</v>
      </c>
      <c r="F344" s="3" t="s">
        <v>14</v>
      </c>
      <c r="G344">
        <v>13217.09</v>
      </c>
    </row>
    <row r="345" spans="1:7" x14ac:dyDescent="0.25">
      <c r="A345" t="s">
        <v>27</v>
      </c>
      <c r="B345" s="3" t="s">
        <v>10</v>
      </c>
      <c r="C345" t="s">
        <v>28</v>
      </c>
      <c r="D345">
        <v>0</v>
      </c>
      <c r="E345" s="3" t="s">
        <v>11</v>
      </c>
      <c r="F345" s="3" t="s">
        <v>14</v>
      </c>
      <c r="G345">
        <v>13981.85</v>
      </c>
    </row>
    <row r="346" spans="1:7" x14ac:dyDescent="0.25">
      <c r="A346" t="s">
        <v>24</v>
      </c>
      <c r="B346" s="3" t="s">
        <v>7</v>
      </c>
      <c r="C346" t="s">
        <v>29</v>
      </c>
      <c r="D346">
        <v>4</v>
      </c>
      <c r="E346" s="3" t="s">
        <v>11</v>
      </c>
      <c r="F346" s="3" t="s">
        <v>12</v>
      </c>
      <c r="G346">
        <v>10977.21</v>
      </c>
    </row>
    <row r="347" spans="1:7" x14ac:dyDescent="0.25">
      <c r="A347" t="s">
        <v>22</v>
      </c>
      <c r="B347" s="3" t="s">
        <v>7</v>
      </c>
      <c r="C347" t="s">
        <v>18</v>
      </c>
      <c r="D347">
        <v>3</v>
      </c>
      <c r="E347" s="3" t="s">
        <v>11</v>
      </c>
      <c r="F347" s="3" t="s">
        <v>12</v>
      </c>
      <c r="G347">
        <v>6184.3</v>
      </c>
    </row>
    <row r="348" spans="1:7" x14ac:dyDescent="0.25">
      <c r="A348" t="s">
        <v>22</v>
      </c>
      <c r="B348" s="3" t="s">
        <v>10</v>
      </c>
      <c r="C348" t="s">
        <v>28</v>
      </c>
      <c r="D348">
        <v>2</v>
      </c>
      <c r="E348" s="3" t="s">
        <v>11</v>
      </c>
      <c r="F348" s="3" t="s">
        <v>12</v>
      </c>
      <c r="G348">
        <v>4890</v>
      </c>
    </row>
    <row r="349" spans="1:7" x14ac:dyDescent="0.25">
      <c r="A349" t="s">
        <v>24</v>
      </c>
      <c r="B349" s="3" t="s">
        <v>10</v>
      </c>
      <c r="C349" t="s">
        <v>20</v>
      </c>
      <c r="D349">
        <v>1</v>
      </c>
      <c r="E349" s="3" t="s">
        <v>11</v>
      </c>
      <c r="F349" s="3" t="s">
        <v>14</v>
      </c>
      <c r="G349">
        <v>8334.4599999999991</v>
      </c>
    </row>
    <row r="350" spans="1:7" x14ac:dyDescent="0.25">
      <c r="A350" t="s">
        <v>25</v>
      </c>
      <c r="B350" s="3" t="s">
        <v>7</v>
      </c>
      <c r="C350" t="s">
        <v>20</v>
      </c>
      <c r="D350">
        <v>1</v>
      </c>
      <c r="E350" s="3" t="s">
        <v>11</v>
      </c>
      <c r="F350" s="3" t="s">
        <v>12</v>
      </c>
      <c r="G350">
        <v>5478.04</v>
      </c>
    </row>
    <row r="351" spans="1:7" x14ac:dyDescent="0.25">
      <c r="A351" t="s">
        <v>17</v>
      </c>
      <c r="B351" s="3" t="s">
        <v>10</v>
      </c>
      <c r="C351" t="s">
        <v>18</v>
      </c>
      <c r="D351">
        <v>0</v>
      </c>
      <c r="E351" s="3" t="s">
        <v>11</v>
      </c>
      <c r="F351" s="3" t="s">
        <v>13</v>
      </c>
      <c r="G351">
        <v>1635.73</v>
      </c>
    </row>
    <row r="352" spans="1:7" x14ac:dyDescent="0.25">
      <c r="A352" t="s">
        <v>26</v>
      </c>
      <c r="B352" s="3" t="s">
        <v>7</v>
      </c>
      <c r="C352" t="s">
        <v>23</v>
      </c>
      <c r="D352">
        <v>0</v>
      </c>
      <c r="E352" s="3" t="s">
        <v>11</v>
      </c>
      <c r="F352" s="3" t="s">
        <v>13</v>
      </c>
      <c r="G352">
        <v>11830.61</v>
      </c>
    </row>
    <row r="353" spans="1:7" x14ac:dyDescent="0.25">
      <c r="A353" t="s">
        <v>24</v>
      </c>
      <c r="B353" s="3" t="s">
        <v>7</v>
      </c>
      <c r="C353" t="s">
        <v>18</v>
      </c>
      <c r="D353">
        <v>0</v>
      </c>
      <c r="E353" s="3" t="s">
        <v>11</v>
      </c>
      <c r="F353" s="3" t="s">
        <v>9</v>
      </c>
      <c r="G353">
        <v>8932.08</v>
      </c>
    </row>
    <row r="354" spans="1:7" x14ac:dyDescent="0.25">
      <c r="A354" t="s">
        <v>21</v>
      </c>
      <c r="B354" s="3" t="s">
        <v>7</v>
      </c>
      <c r="C354" t="s">
        <v>18</v>
      </c>
      <c r="D354">
        <v>0</v>
      </c>
      <c r="E354" s="3" t="s">
        <v>11</v>
      </c>
      <c r="F354" s="3" t="s">
        <v>9</v>
      </c>
      <c r="G354">
        <v>3554.2</v>
      </c>
    </row>
    <row r="355" spans="1:7" x14ac:dyDescent="0.25">
      <c r="A355" t="s">
        <v>22</v>
      </c>
      <c r="B355" s="3" t="s">
        <v>10</v>
      </c>
      <c r="C355" t="s">
        <v>28</v>
      </c>
      <c r="D355">
        <v>0</v>
      </c>
      <c r="E355" s="3" t="s">
        <v>11</v>
      </c>
      <c r="F355" s="3" t="s">
        <v>14</v>
      </c>
      <c r="G355">
        <v>12404.88</v>
      </c>
    </row>
    <row r="356" spans="1:7" x14ac:dyDescent="0.25">
      <c r="A356" t="s">
        <v>19</v>
      </c>
      <c r="B356" s="3" t="s">
        <v>7</v>
      </c>
      <c r="C356" t="s">
        <v>28</v>
      </c>
      <c r="D356">
        <v>0</v>
      </c>
      <c r="E356" s="3" t="s">
        <v>11</v>
      </c>
      <c r="F356" s="3" t="s">
        <v>12</v>
      </c>
      <c r="G356">
        <v>14133.04</v>
      </c>
    </row>
    <row r="357" spans="1:7" x14ac:dyDescent="0.25">
      <c r="A357" t="s">
        <v>24</v>
      </c>
      <c r="B357" s="3" t="s">
        <v>10</v>
      </c>
      <c r="C357" t="s">
        <v>18</v>
      </c>
      <c r="D357">
        <v>0</v>
      </c>
      <c r="E357" s="3" t="s">
        <v>11</v>
      </c>
      <c r="F357" s="3" t="s">
        <v>9</v>
      </c>
      <c r="G357">
        <v>24603.05</v>
      </c>
    </row>
    <row r="358" spans="1:7" x14ac:dyDescent="0.25">
      <c r="A358" t="s">
        <v>24</v>
      </c>
      <c r="B358" s="3" t="s">
        <v>10</v>
      </c>
      <c r="C358" t="s">
        <v>29</v>
      </c>
      <c r="D358">
        <v>3</v>
      </c>
      <c r="E358" s="3" t="s">
        <v>11</v>
      </c>
      <c r="F358" s="3" t="s">
        <v>12</v>
      </c>
      <c r="G358">
        <v>8944.1200000000008</v>
      </c>
    </row>
    <row r="359" spans="1:7" x14ac:dyDescent="0.25">
      <c r="A359" t="s">
        <v>24</v>
      </c>
      <c r="B359" s="3" t="s">
        <v>10</v>
      </c>
      <c r="C359" t="s">
        <v>18</v>
      </c>
      <c r="D359">
        <v>3</v>
      </c>
      <c r="E359" s="3" t="s">
        <v>11</v>
      </c>
      <c r="F359" s="3" t="s">
        <v>13</v>
      </c>
      <c r="G359">
        <v>9620.33</v>
      </c>
    </row>
    <row r="360" spans="1:7" x14ac:dyDescent="0.25">
      <c r="A360" t="s">
        <v>17</v>
      </c>
      <c r="B360" s="3" t="s">
        <v>10</v>
      </c>
      <c r="C360" t="s">
        <v>29</v>
      </c>
      <c r="D360">
        <v>0</v>
      </c>
      <c r="E360" s="3" t="s">
        <v>11</v>
      </c>
      <c r="F360" s="3" t="s">
        <v>12</v>
      </c>
      <c r="G360">
        <v>1837.28</v>
      </c>
    </row>
    <row r="361" spans="1:7" x14ac:dyDescent="0.25">
      <c r="A361" t="s">
        <v>19</v>
      </c>
      <c r="B361" s="3" t="s">
        <v>7</v>
      </c>
      <c r="C361" t="s">
        <v>23</v>
      </c>
      <c r="D361">
        <v>0</v>
      </c>
      <c r="E361" s="3" t="s">
        <v>11</v>
      </c>
      <c r="F361" s="3" t="s">
        <v>12</v>
      </c>
      <c r="G361">
        <v>1607.51</v>
      </c>
    </row>
    <row r="362" spans="1:7" x14ac:dyDescent="0.25">
      <c r="A362" t="s">
        <v>24</v>
      </c>
      <c r="B362" s="3" t="s">
        <v>7</v>
      </c>
      <c r="C362" t="s">
        <v>20</v>
      </c>
      <c r="D362">
        <v>2</v>
      </c>
      <c r="E362" s="3" t="s">
        <v>11</v>
      </c>
      <c r="F362" s="3" t="s">
        <v>14</v>
      </c>
      <c r="G362">
        <v>10043.25</v>
      </c>
    </row>
    <row r="363" spans="1:7" x14ac:dyDescent="0.25">
      <c r="A363" t="s">
        <v>22</v>
      </c>
      <c r="B363" s="3" t="s">
        <v>10</v>
      </c>
      <c r="C363" t="s">
        <v>20</v>
      </c>
      <c r="D363">
        <v>1</v>
      </c>
      <c r="E363" s="3" t="s">
        <v>11</v>
      </c>
      <c r="F363" s="3" t="s">
        <v>9</v>
      </c>
      <c r="G363">
        <v>4751.07</v>
      </c>
    </row>
    <row r="364" spans="1:7" x14ac:dyDescent="0.25">
      <c r="A364" t="s">
        <v>17</v>
      </c>
      <c r="B364" s="3" t="s">
        <v>7</v>
      </c>
      <c r="C364" t="s">
        <v>23</v>
      </c>
      <c r="D364">
        <v>0</v>
      </c>
      <c r="E364" s="3" t="s">
        <v>8</v>
      </c>
      <c r="F364" s="3" t="s">
        <v>9</v>
      </c>
      <c r="G364">
        <v>13844.51</v>
      </c>
    </row>
    <row r="365" spans="1:7" x14ac:dyDescent="0.25">
      <c r="A365" t="s">
        <v>17</v>
      </c>
      <c r="B365" s="3" t="s">
        <v>7</v>
      </c>
      <c r="C365" t="s">
        <v>18</v>
      </c>
      <c r="D365">
        <v>1</v>
      </c>
      <c r="E365" s="3" t="s">
        <v>11</v>
      </c>
      <c r="F365" s="3" t="s">
        <v>9</v>
      </c>
      <c r="G365">
        <v>2597.7800000000002</v>
      </c>
    </row>
    <row r="366" spans="1:7" x14ac:dyDescent="0.25">
      <c r="A366" t="s">
        <v>17</v>
      </c>
      <c r="B366" s="3" t="s">
        <v>7</v>
      </c>
      <c r="C366" t="s">
        <v>23</v>
      </c>
      <c r="D366">
        <v>2</v>
      </c>
      <c r="E366" s="3" t="s">
        <v>11</v>
      </c>
      <c r="F366" s="3" t="s">
        <v>12</v>
      </c>
      <c r="G366">
        <v>3180.51</v>
      </c>
    </row>
    <row r="367" spans="1:7" x14ac:dyDescent="0.25">
      <c r="A367" t="s">
        <v>24</v>
      </c>
      <c r="B367" s="3" t="s">
        <v>7</v>
      </c>
      <c r="C367" t="s">
        <v>20</v>
      </c>
      <c r="D367">
        <v>1</v>
      </c>
      <c r="E367" s="3" t="s">
        <v>11</v>
      </c>
      <c r="F367" s="3" t="s">
        <v>14</v>
      </c>
      <c r="G367">
        <v>9778.35</v>
      </c>
    </row>
    <row r="368" spans="1:7" x14ac:dyDescent="0.25">
      <c r="A368" t="s">
        <v>26</v>
      </c>
      <c r="B368" s="3" t="s">
        <v>7</v>
      </c>
      <c r="C368" t="s">
        <v>20</v>
      </c>
      <c r="D368">
        <v>3</v>
      </c>
      <c r="E368" s="3" t="s">
        <v>11</v>
      </c>
      <c r="F368" s="3" t="s">
        <v>14</v>
      </c>
      <c r="G368">
        <v>13430.26</v>
      </c>
    </row>
    <row r="369" spans="1:7" x14ac:dyDescent="0.25">
      <c r="A369" t="s">
        <v>32</v>
      </c>
      <c r="B369" s="3" t="s">
        <v>7</v>
      </c>
      <c r="C369" t="s">
        <v>18</v>
      </c>
      <c r="D369">
        <v>2</v>
      </c>
      <c r="E369" s="3" t="s">
        <v>11</v>
      </c>
      <c r="F369" s="3" t="s">
        <v>13</v>
      </c>
      <c r="G369">
        <v>8017.06</v>
      </c>
    </row>
    <row r="370" spans="1:7" x14ac:dyDescent="0.25">
      <c r="A370" t="s">
        <v>32</v>
      </c>
      <c r="B370" s="3" t="s">
        <v>10</v>
      </c>
      <c r="C370" t="s">
        <v>20</v>
      </c>
      <c r="D370">
        <v>2</v>
      </c>
      <c r="E370" s="3" t="s">
        <v>11</v>
      </c>
      <c r="F370" s="3" t="s">
        <v>13</v>
      </c>
      <c r="G370">
        <v>8116.27</v>
      </c>
    </row>
    <row r="371" spans="1:7" x14ac:dyDescent="0.25">
      <c r="A371" t="s">
        <v>19</v>
      </c>
      <c r="B371" s="3" t="s">
        <v>10</v>
      </c>
      <c r="C371" t="s">
        <v>20</v>
      </c>
      <c r="D371">
        <v>3</v>
      </c>
      <c r="E371" s="3" t="s">
        <v>11</v>
      </c>
      <c r="F371" s="3" t="s">
        <v>14</v>
      </c>
      <c r="G371">
        <v>3481.87</v>
      </c>
    </row>
    <row r="372" spans="1:7" x14ac:dyDescent="0.25">
      <c r="A372" t="s">
        <v>27</v>
      </c>
      <c r="B372" s="3" t="s">
        <v>7</v>
      </c>
      <c r="C372" t="s">
        <v>23</v>
      </c>
      <c r="D372">
        <v>0</v>
      </c>
      <c r="E372" s="3" t="s">
        <v>11</v>
      </c>
      <c r="F372" s="3" t="s">
        <v>13</v>
      </c>
      <c r="G372">
        <v>13415.04</v>
      </c>
    </row>
    <row r="373" spans="1:7" x14ac:dyDescent="0.25">
      <c r="A373" t="s">
        <v>26</v>
      </c>
      <c r="B373" s="3" t="s">
        <v>7</v>
      </c>
      <c r="C373" t="s">
        <v>23</v>
      </c>
      <c r="D373">
        <v>0</v>
      </c>
      <c r="E373" s="3" t="s">
        <v>11</v>
      </c>
      <c r="F373" s="3" t="s">
        <v>14</v>
      </c>
      <c r="G373">
        <v>12029.29</v>
      </c>
    </row>
    <row r="374" spans="1:7" x14ac:dyDescent="0.25">
      <c r="A374" t="s">
        <v>32</v>
      </c>
      <c r="B374" s="3" t="s">
        <v>7</v>
      </c>
      <c r="C374" t="s">
        <v>20</v>
      </c>
      <c r="D374">
        <v>1</v>
      </c>
      <c r="E374" s="3" t="s">
        <v>11</v>
      </c>
      <c r="F374" s="3" t="s">
        <v>14</v>
      </c>
      <c r="G374">
        <v>7639.42</v>
      </c>
    </row>
    <row r="375" spans="1:7" x14ac:dyDescent="0.25">
      <c r="A375" t="s">
        <v>21</v>
      </c>
      <c r="B375" s="3" t="s">
        <v>10</v>
      </c>
      <c r="C375" t="s">
        <v>20</v>
      </c>
      <c r="D375">
        <v>2</v>
      </c>
      <c r="E375" s="3" t="s">
        <v>8</v>
      </c>
      <c r="F375" s="3" t="s">
        <v>9</v>
      </c>
      <c r="G375">
        <v>36085.22</v>
      </c>
    </row>
    <row r="376" spans="1:7" x14ac:dyDescent="0.25">
      <c r="A376" t="s">
        <v>17</v>
      </c>
      <c r="B376" s="3" t="s">
        <v>10</v>
      </c>
      <c r="C376" t="s">
        <v>20</v>
      </c>
      <c r="D376">
        <v>0</v>
      </c>
      <c r="E376" s="3" t="s">
        <v>11</v>
      </c>
      <c r="F376" s="3" t="s">
        <v>12</v>
      </c>
      <c r="G376">
        <v>1391.53</v>
      </c>
    </row>
    <row r="377" spans="1:7" x14ac:dyDescent="0.25">
      <c r="A377" t="s">
        <v>17</v>
      </c>
      <c r="B377" s="3" t="s">
        <v>7</v>
      </c>
      <c r="C377" t="s">
        <v>18</v>
      </c>
      <c r="D377">
        <v>0</v>
      </c>
      <c r="E377" s="3" t="s">
        <v>8</v>
      </c>
      <c r="F377" s="3" t="s">
        <v>13</v>
      </c>
      <c r="G377">
        <v>18033.97</v>
      </c>
    </row>
    <row r="378" spans="1:7" x14ac:dyDescent="0.25">
      <c r="A378" t="s">
        <v>25</v>
      </c>
      <c r="B378" s="3" t="s">
        <v>7</v>
      </c>
      <c r="C378" t="s">
        <v>23</v>
      </c>
      <c r="D378">
        <v>3</v>
      </c>
      <c r="E378" s="3" t="s">
        <v>8</v>
      </c>
      <c r="F378" s="3" t="s">
        <v>14</v>
      </c>
      <c r="G378">
        <v>21659.93</v>
      </c>
    </row>
    <row r="379" spans="1:7" x14ac:dyDescent="0.25">
      <c r="A379" t="s">
        <v>17</v>
      </c>
      <c r="B379" s="3" t="s">
        <v>10</v>
      </c>
      <c r="C379" t="s">
        <v>29</v>
      </c>
      <c r="D379">
        <v>0</v>
      </c>
      <c r="E379" s="3" t="s">
        <v>8</v>
      </c>
      <c r="F379" s="3" t="s">
        <v>12</v>
      </c>
      <c r="G379">
        <v>38126.25</v>
      </c>
    </row>
    <row r="380" spans="1:7" x14ac:dyDescent="0.25">
      <c r="A380" t="s">
        <v>27</v>
      </c>
      <c r="B380" s="3" t="s">
        <v>7</v>
      </c>
      <c r="C380" t="s">
        <v>20</v>
      </c>
      <c r="D380">
        <v>3</v>
      </c>
      <c r="E380" s="3" t="s">
        <v>11</v>
      </c>
      <c r="F380" s="3" t="s">
        <v>13</v>
      </c>
      <c r="G380">
        <v>16455.71</v>
      </c>
    </row>
    <row r="381" spans="1:7" x14ac:dyDescent="0.25">
      <c r="A381" t="s">
        <v>27</v>
      </c>
      <c r="B381" s="3" t="s">
        <v>10</v>
      </c>
      <c r="C381" t="s">
        <v>20</v>
      </c>
      <c r="D381">
        <v>1</v>
      </c>
      <c r="E381" s="3" t="s">
        <v>11</v>
      </c>
      <c r="F381" s="3" t="s">
        <v>12</v>
      </c>
      <c r="G381">
        <v>27000.98</v>
      </c>
    </row>
    <row r="382" spans="1:7" x14ac:dyDescent="0.25">
      <c r="A382" t="s">
        <v>21</v>
      </c>
      <c r="B382" s="3" t="s">
        <v>7</v>
      </c>
      <c r="C382" t="s">
        <v>31</v>
      </c>
      <c r="D382">
        <v>2</v>
      </c>
      <c r="E382" s="3" t="s">
        <v>8</v>
      </c>
      <c r="F382" s="3" t="s">
        <v>14</v>
      </c>
      <c r="G382">
        <v>15006.58</v>
      </c>
    </row>
    <row r="383" spans="1:7" x14ac:dyDescent="0.25">
      <c r="A383" t="s">
        <v>30</v>
      </c>
      <c r="B383" s="3" t="s">
        <v>10</v>
      </c>
      <c r="C383" t="s">
        <v>20</v>
      </c>
      <c r="D383">
        <v>0</v>
      </c>
      <c r="E383" s="3" t="s">
        <v>8</v>
      </c>
      <c r="F383" s="3" t="s">
        <v>14</v>
      </c>
      <c r="G383">
        <v>42303.69</v>
      </c>
    </row>
    <row r="384" spans="1:7" x14ac:dyDescent="0.25">
      <c r="A384" t="s">
        <v>30</v>
      </c>
      <c r="B384" s="3" t="s">
        <v>10</v>
      </c>
      <c r="C384" t="s">
        <v>20</v>
      </c>
      <c r="D384">
        <v>0</v>
      </c>
      <c r="E384" s="3" t="s">
        <v>11</v>
      </c>
      <c r="F384" s="3" t="s">
        <v>12</v>
      </c>
      <c r="G384">
        <v>20781.490000000002</v>
      </c>
    </row>
    <row r="385" spans="1:7" x14ac:dyDescent="0.25">
      <c r="A385" t="s">
        <v>22</v>
      </c>
      <c r="B385" s="3" t="s">
        <v>7</v>
      </c>
      <c r="C385" t="s">
        <v>29</v>
      </c>
      <c r="D385">
        <v>2</v>
      </c>
      <c r="E385" s="3" t="s">
        <v>11</v>
      </c>
      <c r="F385" s="3" t="s">
        <v>12</v>
      </c>
      <c r="G385">
        <v>5846.92</v>
      </c>
    </row>
    <row r="386" spans="1:7" x14ac:dyDescent="0.25">
      <c r="A386" t="s">
        <v>32</v>
      </c>
      <c r="B386" s="3" t="s">
        <v>10</v>
      </c>
      <c r="C386" t="s">
        <v>23</v>
      </c>
      <c r="D386">
        <v>2</v>
      </c>
      <c r="E386" s="3" t="s">
        <v>11</v>
      </c>
      <c r="F386" s="3" t="s">
        <v>14</v>
      </c>
      <c r="G386">
        <v>8302.5400000000009</v>
      </c>
    </row>
    <row r="387" spans="1:7" x14ac:dyDescent="0.25">
      <c r="A387" t="s">
        <v>17</v>
      </c>
      <c r="B387" s="3" t="s">
        <v>10</v>
      </c>
      <c r="C387" t="s">
        <v>20</v>
      </c>
      <c r="D387">
        <v>0</v>
      </c>
      <c r="E387" s="3" t="s">
        <v>11</v>
      </c>
      <c r="F387" s="3" t="s">
        <v>9</v>
      </c>
      <c r="G387">
        <v>1261.8599999999999</v>
      </c>
    </row>
    <row r="388" spans="1:7" x14ac:dyDescent="0.25">
      <c r="A388" t="s">
        <v>26</v>
      </c>
      <c r="B388" s="3" t="s">
        <v>7</v>
      </c>
      <c r="C388" t="s">
        <v>28</v>
      </c>
      <c r="D388">
        <v>0</v>
      </c>
      <c r="E388" s="3" t="s">
        <v>11</v>
      </c>
      <c r="F388" s="3" t="s">
        <v>12</v>
      </c>
      <c r="G388">
        <v>11856.41</v>
      </c>
    </row>
    <row r="389" spans="1:7" x14ac:dyDescent="0.25">
      <c r="A389" t="s">
        <v>24</v>
      </c>
      <c r="B389" s="3" t="s">
        <v>10</v>
      </c>
      <c r="C389" t="s">
        <v>18</v>
      </c>
      <c r="D389">
        <v>2</v>
      </c>
      <c r="E389" s="3" t="s">
        <v>11</v>
      </c>
      <c r="F389" s="3" t="s">
        <v>13</v>
      </c>
      <c r="G389">
        <v>30284.639999999999</v>
      </c>
    </row>
    <row r="390" spans="1:7" x14ac:dyDescent="0.25">
      <c r="A390" t="s">
        <v>21</v>
      </c>
      <c r="B390" s="3" t="s">
        <v>7</v>
      </c>
      <c r="C390" t="s">
        <v>23</v>
      </c>
      <c r="D390">
        <v>0</v>
      </c>
      <c r="E390" s="3" t="s">
        <v>11</v>
      </c>
      <c r="F390" s="3" t="s">
        <v>13</v>
      </c>
      <c r="G390">
        <v>3176.82</v>
      </c>
    </row>
    <row r="391" spans="1:7" x14ac:dyDescent="0.25">
      <c r="A391" t="s">
        <v>17</v>
      </c>
      <c r="B391" s="3" t="s">
        <v>7</v>
      </c>
      <c r="C391" t="s">
        <v>20</v>
      </c>
      <c r="D391">
        <v>3</v>
      </c>
      <c r="E391" s="3" t="s">
        <v>11</v>
      </c>
      <c r="F391" s="3" t="s">
        <v>13</v>
      </c>
      <c r="G391">
        <v>4618.08</v>
      </c>
    </row>
    <row r="392" spans="1:7" x14ac:dyDescent="0.25">
      <c r="A392" t="s">
        <v>24</v>
      </c>
      <c r="B392" s="3" t="s">
        <v>10</v>
      </c>
      <c r="C392" t="s">
        <v>28</v>
      </c>
      <c r="D392">
        <v>4</v>
      </c>
      <c r="E392" s="3" t="s">
        <v>11</v>
      </c>
      <c r="F392" s="3" t="s">
        <v>14</v>
      </c>
      <c r="G392">
        <v>10736.87</v>
      </c>
    </row>
    <row r="393" spans="1:7" x14ac:dyDescent="0.25">
      <c r="A393" t="s">
        <v>17</v>
      </c>
      <c r="B393" s="3" t="s">
        <v>7</v>
      </c>
      <c r="C393" t="s">
        <v>28</v>
      </c>
      <c r="D393">
        <v>0</v>
      </c>
      <c r="E393" s="3" t="s">
        <v>11</v>
      </c>
      <c r="F393" s="3" t="s">
        <v>13</v>
      </c>
      <c r="G393">
        <v>2138.0700000000002</v>
      </c>
    </row>
    <row r="394" spans="1:7" x14ac:dyDescent="0.25">
      <c r="A394" t="s">
        <v>24</v>
      </c>
      <c r="B394" s="3" t="s">
        <v>10</v>
      </c>
      <c r="C394" t="s">
        <v>20</v>
      </c>
      <c r="D394">
        <v>1</v>
      </c>
      <c r="E394" s="3" t="s">
        <v>11</v>
      </c>
      <c r="F394" s="3" t="s">
        <v>14</v>
      </c>
      <c r="G394">
        <v>8964.06</v>
      </c>
    </row>
    <row r="395" spans="1:7" x14ac:dyDescent="0.25">
      <c r="A395" t="s">
        <v>24</v>
      </c>
      <c r="B395" s="3" t="s">
        <v>10</v>
      </c>
      <c r="C395" t="s">
        <v>20</v>
      </c>
      <c r="D395">
        <v>1</v>
      </c>
      <c r="E395" s="3" t="s">
        <v>11</v>
      </c>
      <c r="F395" s="3" t="s">
        <v>14</v>
      </c>
      <c r="G395">
        <v>9290.14</v>
      </c>
    </row>
    <row r="396" spans="1:7" x14ac:dyDescent="0.25">
      <c r="A396" t="s">
        <v>24</v>
      </c>
      <c r="B396" s="3" t="s">
        <v>7</v>
      </c>
      <c r="C396" t="s">
        <v>20</v>
      </c>
      <c r="D396">
        <v>2</v>
      </c>
      <c r="E396" s="3" t="s">
        <v>11</v>
      </c>
      <c r="F396" s="3" t="s">
        <v>14</v>
      </c>
      <c r="G396">
        <v>9411</v>
      </c>
    </row>
    <row r="397" spans="1:7" x14ac:dyDescent="0.25">
      <c r="A397" t="s">
        <v>24</v>
      </c>
      <c r="B397" s="3" t="s">
        <v>10</v>
      </c>
      <c r="C397" t="s">
        <v>23</v>
      </c>
      <c r="D397">
        <v>0</v>
      </c>
      <c r="E397" s="3" t="s">
        <v>11</v>
      </c>
      <c r="F397" s="3" t="s">
        <v>13</v>
      </c>
      <c r="G397">
        <v>7526.71</v>
      </c>
    </row>
    <row r="398" spans="1:7" x14ac:dyDescent="0.25">
      <c r="A398" t="s">
        <v>32</v>
      </c>
      <c r="B398" s="3" t="s">
        <v>7</v>
      </c>
      <c r="C398" t="s">
        <v>20</v>
      </c>
      <c r="D398">
        <v>3</v>
      </c>
      <c r="E398" s="3" t="s">
        <v>11</v>
      </c>
      <c r="F398" s="3" t="s">
        <v>9</v>
      </c>
      <c r="G398">
        <v>8522</v>
      </c>
    </row>
    <row r="399" spans="1:7" x14ac:dyDescent="0.25">
      <c r="A399" t="s">
        <v>17</v>
      </c>
      <c r="B399" s="3" t="s">
        <v>10</v>
      </c>
      <c r="C399" t="s">
        <v>20</v>
      </c>
      <c r="D399">
        <v>0</v>
      </c>
      <c r="E399" s="3" t="s">
        <v>11</v>
      </c>
      <c r="F399" s="3" t="s">
        <v>12</v>
      </c>
      <c r="G399">
        <v>16586.5</v>
      </c>
    </row>
    <row r="400" spans="1:7" x14ac:dyDescent="0.25">
      <c r="A400" t="s">
        <v>27</v>
      </c>
      <c r="B400" s="3" t="s">
        <v>10</v>
      </c>
      <c r="C400" t="s">
        <v>18</v>
      </c>
      <c r="D400">
        <v>2</v>
      </c>
      <c r="E400" s="3" t="s">
        <v>11</v>
      </c>
      <c r="F400" s="3" t="s">
        <v>9</v>
      </c>
      <c r="G400">
        <v>14988.43</v>
      </c>
    </row>
    <row r="401" spans="1:7" x14ac:dyDescent="0.25">
      <c r="A401" t="s">
        <v>19</v>
      </c>
      <c r="B401" s="3" t="s">
        <v>7</v>
      </c>
      <c r="C401" t="s">
        <v>28</v>
      </c>
      <c r="D401">
        <v>0</v>
      </c>
      <c r="E401" s="3" t="s">
        <v>11</v>
      </c>
      <c r="F401" s="3" t="s">
        <v>12</v>
      </c>
      <c r="G401">
        <v>1631.67</v>
      </c>
    </row>
    <row r="402" spans="1:7" x14ac:dyDescent="0.25">
      <c r="A402" t="s">
        <v>30</v>
      </c>
      <c r="B402" s="3" t="s">
        <v>7</v>
      </c>
      <c r="C402" t="s">
        <v>23</v>
      </c>
      <c r="D402">
        <v>0</v>
      </c>
      <c r="E402" s="3" t="s">
        <v>11</v>
      </c>
      <c r="F402" s="3" t="s">
        <v>9</v>
      </c>
      <c r="G402">
        <v>9264.7999999999993</v>
      </c>
    </row>
    <row r="403" spans="1:7" x14ac:dyDescent="0.25">
      <c r="A403" t="s">
        <v>24</v>
      </c>
      <c r="B403" s="3" t="s">
        <v>10</v>
      </c>
      <c r="C403" t="s">
        <v>29</v>
      </c>
      <c r="D403">
        <v>1</v>
      </c>
      <c r="E403" s="3" t="s">
        <v>11</v>
      </c>
      <c r="F403" s="3" t="s">
        <v>12</v>
      </c>
      <c r="G403">
        <v>8083.92</v>
      </c>
    </row>
    <row r="404" spans="1:7" x14ac:dyDescent="0.25">
      <c r="A404" t="s">
        <v>27</v>
      </c>
      <c r="B404" s="3" t="s">
        <v>7</v>
      </c>
      <c r="C404" t="s">
        <v>20</v>
      </c>
      <c r="D404">
        <v>0</v>
      </c>
      <c r="E404" s="3" t="s">
        <v>11</v>
      </c>
      <c r="F404" s="3" t="s">
        <v>13</v>
      </c>
      <c r="G404">
        <v>14692.67</v>
      </c>
    </row>
    <row r="405" spans="1:7" x14ac:dyDescent="0.25">
      <c r="A405" t="s">
        <v>24</v>
      </c>
      <c r="B405" s="3" t="s">
        <v>10</v>
      </c>
      <c r="C405" t="s">
        <v>20</v>
      </c>
      <c r="D405">
        <v>3</v>
      </c>
      <c r="E405" s="3" t="s">
        <v>11</v>
      </c>
      <c r="F405" s="3" t="s">
        <v>13</v>
      </c>
      <c r="G405">
        <v>10269.459999999999</v>
      </c>
    </row>
    <row r="406" spans="1:7" x14ac:dyDescent="0.25">
      <c r="A406" t="s">
        <v>22</v>
      </c>
      <c r="B406" s="3" t="s">
        <v>10</v>
      </c>
      <c r="C406" t="s">
        <v>23</v>
      </c>
      <c r="D406">
        <v>0</v>
      </c>
      <c r="E406" s="3" t="s">
        <v>11</v>
      </c>
      <c r="F406" s="3" t="s">
        <v>9</v>
      </c>
      <c r="G406">
        <v>3260.2</v>
      </c>
    </row>
    <row r="407" spans="1:7" x14ac:dyDescent="0.25">
      <c r="A407" t="s">
        <v>30</v>
      </c>
      <c r="B407" s="3" t="s">
        <v>7</v>
      </c>
      <c r="C407" t="s">
        <v>28</v>
      </c>
      <c r="D407">
        <v>2</v>
      </c>
      <c r="E407" s="3" t="s">
        <v>11</v>
      </c>
      <c r="F407" s="3" t="s">
        <v>14</v>
      </c>
      <c r="G407">
        <v>11396.9</v>
      </c>
    </row>
    <row r="408" spans="1:7" x14ac:dyDescent="0.25">
      <c r="A408" t="s">
        <v>22</v>
      </c>
      <c r="B408" s="3" t="s">
        <v>7</v>
      </c>
      <c r="C408" t="s">
        <v>23</v>
      </c>
      <c r="D408">
        <v>0</v>
      </c>
      <c r="E408" s="3" t="s">
        <v>11</v>
      </c>
      <c r="F408" s="3" t="s">
        <v>12</v>
      </c>
      <c r="G408">
        <v>4185.1000000000004</v>
      </c>
    </row>
    <row r="409" spans="1:7" x14ac:dyDescent="0.25">
      <c r="A409" t="s">
        <v>24</v>
      </c>
      <c r="B409" s="3" t="s">
        <v>7</v>
      </c>
      <c r="C409" t="s">
        <v>23</v>
      </c>
      <c r="D409">
        <v>1</v>
      </c>
      <c r="E409" s="3" t="s">
        <v>11</v>
      </c>
      <c r="F409" s="3" t="s">
        <v>9</v>
      </c>
      <c r="G409">
        <v>8539.67</v>
      </c>
    </row>
    <row r="410" spans="1:7" x14ac:dyDescent="0.25">
      <c r="A410" t="s">
        <v>25</v>
      </c>
      <c r="B410" s="3" t="s">
        <v>10</v>
      </c>
      <c r="C410" t="s">
        <v>23</v>
      </c>
      <c r="D410">
        <v>3</v>
      </c>
      <c r="E410" s="3" t="s">
        <v>11</v>
      </c>
      <c r="F410" s="3" t="s">
        <v>12</v>
      </c>
      <c r="G410">
        <v>6652.53</v>
      </c>
    </row>
    <row r="411" spans="1:7" x14ac:dyDescent="0.25">
      <c r="A411" t="s">
        <v>22</v>
      </c>
      <c r="B411" s="3" t="s">
        <v>10</v>
      </c>
      <c r="C411" t="s">
        <v>20</v>
      </c>
      <c r="D411">
        <v>1</v>
      </c>
      <c r="E411" s="3" t="s">
        <v>11</v>
      </c>
      <c r="F411" s="3" t="s">
        <v>12</v>
      </c>
      <c r="G411">
        <v>4074.45</v>
      </c>
    </row>
    <row r="412" spans="1:7" x14ac:dyDescent="0.25">
      <c r="A412" t="s">
        <v>17</v>
      </c>
      <c r="B412" s="3" t="s">
        <v>10</v>
      </c>
      <c r="C412" t="s">
        <v>31</v>
      </c>
      <c r="D412">
        <v>0</v>
      </c>
      <c r="E412" s="3" t="s">
        <v>11</v>
      </c>
      <c r="F412" s="3" t="s">
        <v>13</v>
      </c>
      <c r="G412">
        <v>1621.34</v>
      </c>
    </row>
    <row r="413" spans="1:7" x14ac:dyDescent="0.25">
      <c r="A413" t="s">
        <v>32</v>
      </c>
      <c r="B413" s="3" t="s">
        <v>7</v>
      </c>
      <c r="C413" t="s">
        <v>23</v>
      </c>
      <c r="D413">
        <v>1</v>
      </c>
      <c r="E413" s="3" t="s">
        <v>8</v>
      </c>
      <c r="F413" s="3" t="s">
        <v>14</v>
      </c>
      <c r="G413">
        <v>19594.810000000001</v>
      </c>
    </row>
    <row r="414" spans="1:7" x14ac:dyDescent="0.25">
      <c r="A414" t="s">
        <v>21</v>
      </c>
      <c r="B414" s="3" t="s">
        <v>7</v>
      </c>
      <c r="C414" t="s">
        <v>31</v>
      </c>
      <c r="D414">
        <v>2</v>
      </c>
      <c r="E414" s="3" t="s">
        <v>8</v>
      </c>
      <c r="F414" s="3" t="s">
        <v>14</v>
      </c>
      <c r="G414">
        <v>14455.64</v>
      </c>
    </row>
    <row r="415" spans="1:7" x14ac:dyDescent="0.25">
      <c r="A415" t="s">
        <v>17</v>
      </c>
      <c r="B415" s="3" t="s">
        <v>10</v>
      </c>
      <c r="C415" t="s">
        <v>23</v>
      </c>
      <c r="D415">
        <v>5</v>
      </c>
      <c r="E415" s="3" t="s">
        <v>11</v>
      </c>
      <c r="F415" s="3" t="s">
        <v>9</v>
      </c>
      <c r="G415">
        <v>5080.1000000000004</v>
      </c>
    </row>
    <row r="416" spans="1:7" x14ac:dyDescent="0.25">
      <c r="A416" t="s">
        <v>17</v>
      </c>
      <c r="B416" s="3" t="s">
        <v>7</v>
      </c>
      <c r="C416" t="s">
        <v>28</v>
      </c>
      <c r="D416">
        <v>0</v>
      </c>
      <c r="E416" s="3" t="s">
        <v>11</v>
      </c>
      <c r="F416" s="3" t="s">
        <v>13</v>
      </c>
      <c r="G416">
        <v>2134.9</v>
      </c>
    </row>
    <row r="417" spans="1:7" x14ac:dyDescent="0.25">
      <c r="A417" t="s">
        <v>32</v>
      </c>
      <c r="B417" s="3" t="s">
        <v>7</v>
      </c>
      <c r="C417" t="s">
        <v>28</v>
      </c>
      <c r="D417">
        <v>1</v>
      </c>
      <c r="E417" s="3" t="s">
        <v>11</v>
      </c>
      <c r="F417" s="3" t="s">
        <v>12</v>
      </c>
      <c r="G417">
        <v>7345.73</v>
      </c>
    </row>
    <row r="418" spans="1:7" x14ac:dyDescent="0.25">
      <c r="A418" t="s">
        <v>30</v>
      </c>
      <c r="B418" s="3" t="s">
        <v>10</v>
      </c>
      <c r="C418" t="s">
        <v>20</v>
      </c>
      <c r="D418">
        <v>0</v>
      </c>
      <c r="E418" s="3" t="s">
        <v>11</v>
      </c>
      <c r="F418" s="3" t="s">
        <v>12</v>
      </c>
      <c r="G418">
        <v>9140.9500000000007</v>
      </c>
    </row>
    <row r="419" spans="1:7" x14ac:dyDescent="0.25">
      <c r="A419" t="s">
        <v>25</v>
      </c>
      <c r="B419" s="3" t="s">
        <v>7</v>
      </c>
      <c r="C419" t="s">
        <v>23</v>
      </c>
      <c r="D419">
        <v>2</v>
      </c>
      <c r="E419" s="3" t="s">
        <v>8</v>
      </c>
      <c r="F419" s="3" t="s">
        <v>9</v>
      </c>
      <c r="G419">
        <v>18608.259999999998</v>
      </c>
    </row>
    <row r="420" spans="1:7" x14ac:dyDescent="0.25">
      <c r="A420" t="s">
        <v>27</v>
      </c>
      <c r="B420" s="3" t="s">
        <v>10</v>
      </c>
      <c r="C420" t="s">
        <v>28</v>
      </c>
      <c r="D420">
        <v>1</v>
      </c>
      <c r="E420" s="3" t="s">
        <v>11</v>
      </c>
      <c r="F420" s="3" t="s">
        <v>12</v>
      </c>
      <c r="G420">
        <v>14418.28</v>
      </c>
    </row>
    <row r="421" spans="1:7" x14ac:dyDescent="0.25">
      <c r="A421" t="s">
        <v>27</v>
      </c>
      <c r="B421" s="3" t="s">
        <v>7</v>
      </c>
      <c r="C421" t="s">
        <v>18</v>
      </c>
      <c r="D421">
        <v>0</v>
      </c>
      <c r="E421" s="3" t="s">
        <v>8</v>
      </c>
      <c r="F421" s="3" t="s">
        <v>13</v>
      </c>
      <c r="G421">
        <v>28950.47</v>
      </c>
    </row>
    <row r="422" spans="1:7" x14ac:dyDescent="0.25">
      <c r="A422" t="s">
        <v>27</v>
      </c>
      <c r="B422" s="3" t="s">
        <v>10</v>
      </c>
      <c r="C422" t="s">
        <v>20</v>
      </c>
      <c r="D422">
        <v>0</v>
      </c>
      <c r="E422" s="3" t="s">
        <v>8</v>
      </c>
      <c r="F422" s="3" t="s">
        <v>12</v>
      </c>
      <c r="G422">
        <v>46889.26</v>
      </c>
    </row>
    <row r="423" spans="1:7" x14ac:dyDescent="0.25">
      <c r="A423" t="s">
        <v>27</v>
      </c>
      <c r="B423" s="3" t="s">
        <v>10</v>
      </c>
      <c r="C423" t="s">
        <v>28</v>
      </c>
      <c r="D423">
        <v>0</v>
      </c>
      <c r="E423" s="3" t="s">
        <v>8</v>
      </c>
      <c r="F423" s="3" t="s">
        <v>12</v>
      </c>
      <c r="G423">
        <v>46599.11</v>
      </c>
    </row>
    <row r="424" spans="1:7" x14ac:dyDescent="0.25">
      <c r="A424" t="s">
        <v>25</v>
      </c>
      <c r="B424" s="3" t="s">
        <v>10</v>
      </c>
      <c r="C424" t="s">
        <v>20</v>
      </c>
      <c r="D424">
        <v>1</v>
      </c>
      <c r="E424" s="3" t="s">
        <v>8</v>
      </c>
      <c r="F424" s="3" t="s">
        <v>14</v>
      </c>
      <c r="G424">
        <v>39125.33</v>
      </c>
    </row>
    <row r="425" spans="1:7" x14ac:dyDescent="0.25">
      <c r="A425" t="s">
        <v>17</v>
      </c>
      <c r="B425" s="3" t="s">
        <v>10</v>
      </c>
      <c r="C425" t="s">
        <v>20</v>
      </c>
      <c r="D425">
        <v>0</v>
      </c>
      <c r="E425" s="3" t="s">
        <v>11</v>
      </c>
      <c r="F425" s="3" t="s">
        <v>14</v>
      </c>
      <c r="G425">
        <v>2727.4</v>
      </c>
    </row>
    <row r="426" spans="1:7" x14ac:dyDescent="0.25">
      <c r="A426" t="s">
        <v>24</v>
      </c>
      <c r="B426" s="3" t="s">
        <v>10</v>
      </c>
      <c r="C426" t="s">
        <v>20</v>
      </c>
      <c r="D426">
        <v>2</v>
      </c>
      <c r="E426" s="3" t="s">
        <v>11</v>
      </c>
      <c r="F426" s="3" t="s">
        <v>9</v>
      </c>
      <c r="G426">
        <v>8968.33</v>
      </c>
    </row>
    <row r="427" spans="1:7" x14ac:dyDescent="0.25">
      <c r="A427" t="s">
        <v>32</v>
      </c>
      <c r="B427" s="3" t="s">
        <v>10</v>
      </c>
      <c r="C427" t="s">
        <v>23</v>
      </c>
      <c r="D427">
        <v>5</v>
      </c>
      <c r="E427" s="3" t="s">
        <v>11</v>
      </c>
      <c r="F427" s="3" t="s">
        <v>12</v>
      </c>
      <c r="G427">
        <v>9788.8700000000008</v>
      </c>
    </row>
    <row r="428" spans="1:7" x14ac:dyDescent="0.25">
      <c r="A428" t="s">
        <v>25</v>
      </c>
      <c r="B428" s="3" t="s">
        <v>7</v>
      </c>
      <c r="C428" t="s">
        <v>18</v>
      </c>
      <c r="D428">
        <v>1</v>
      </c>
      <c r="E428" s="3" t="s">
        <v>11</v>
      </c>
      <c r="F428" s="3" t="s">
        <v>14</v>
      </c>
      <c r="G428">
        <v>6555.07</v>
      </c>
    </row>
    <row r="429" spans="1:7" x14ac:dyDescent="0.25">
      <c r="A429" t="s">
        <v>19</v>
      </c>
      <c r="B429" s="3" t="s">
        <v>7</v>
      </c>
      <c r="C429" t="s">
        <v>18</v>
      </c>
      <c r="D429">
        <v>0</v>
      </c>
      <c r="E429" s="3" t="s">
        <v>11</v>
      </c>
      <c r="F429" s="3" t="s">
        <v>14</v>
      </c>
      <c r="G429">
        <v>7323.73</v>
      </c>
    </row>
    <row r="430" spans="1:7" x14ac:dyDescent="0.25">
      <c r="A430" t="s">
        <v>17</v>
      </c>
      <c r="B430" s="3" t="s">
        <v>7</v>
      </c>
      <c r="C430" t="s">
        <v>31</v>
      </c>
      <c r="D430">
        <v>1</v>
      </c>
      <c r="E430" s="3" t="s">
        <v>11</v>
      </c>
      <c r="F430" s="3" t="s">
        <v>14</v>
      </c>
      <c r="G430">
        <v>3167.46</v>
      </c>
    </row>
    <row r="431" spans="1:7" x14ac:dyDescent="0.25">
      <c r="A431" t="s">
        <v>21</v>
      </c>
      <c r="B431" s="3" t="s">
        <v>7</v>
      </c>
      <c r="C431" t="s">
        <v>20</v>
      </c>
      <c r="D431">
        <v>3</v>
      </c>
      <c r="E431" s="3" t="s">
        <v>11</v>
      </c>
      <c r="F431" s="3" t="s">
        <v>13</v>
      </c>
      <c r="G431">
        <v>18804.75</v>
      </c>
    </row>
    <row r="432" spans="1:7" x14ac:dyDescent="0.25">
      <c r="A432" t="s">
        <v>17</v>
      </c>
      <c r="B432" s="3" t="s">
        <v>10</v>
      </c>
      <c r="C432" t="s">
        <v>20</v>
      </c>
      <c r="D432">
        <v>0</v>
      </c>
      <c r="E432" s="3" t="s">
        <v>11</v>
      </c>
      <c r="F432" s="3" t="s">
        <v>9</v>
      </c>
      <c r="G432">
        <v>23082.959999999999</v>
      </c>
    </row>
    <row r="433" spans="1:7" x14ac:dyDescent="0.25">
      <c r="A433" t="s">
        <v>21</v>
      </c>
      <c r="B433" s="3" t="s">
        <v>7</v>
      </c>
      <c r="C433" t="s">
        <v>23</v>
      </c>
      <c r="D433">
        <v>2</v>
      </c>
      <c r="E433" s="3" t="s">
        <v>11</v>
      </c>
      <c r="F433" s="3" t="s">
        <v>13</v>
      </c>
      <c r="G433">
        <v>4906.41</v>
      </c>
    </row>
    <row r="434" spans="1:7" x14ac:dyDescent="0.25">
      <c r="A434" t="s">
        <v>32</v>
      </c>
      <c r="B434" s="3" t="s">
        <v>10</v>
      </c>
      <c r="C434" t="s">
        <v>18</v>
      </c>
      <c r="D434">
        <v>0</v>
      </c>
      <c r="E434" s="3" t="s">
        <v>11</v>
      </c>
      <c r="F434" s="3" t="s">
        <v>9</v>
      </c>
      <c r="G434">
        <v>5969.72</v>
      </c>
    </row>
    <row r="435" spans="1:7" x14ac:dyDescent="0.25">
      <c r="A435" t="s">
        <v>26</v>
      </c>
      <c r="B435" s="3" t="s">
        <v>7</v>
      </c>
      <c r="C435" t="s">
        <v>20</v>
      </c>
      <c r="D435">
        <v>0</v>
      </c>
      <c r="E435" s="3" t="s">
        <v>11</v>
      </c>
      <c r="F435" s="3" t="s">
        <v>9</v>
      </c>
      <c r="G435">
        <v>12638.2</v>
      </c>
    </row>
    <row r="436" spans="1:7" x14ac:dyDescent="0.25">
      <c r="A436" t="s">
        <v>22</v>
      </c>
      <c r="B436" s="3" t="s">
        <v>10</v>
      </c>
      <c r="C436" t="s">
        <v>18</v>
      </c>
      <c r="D436">
        <v>1</v>
      </c>
      <c r="E436" s="3" t="s">
        <v>11</v>
      </c>
      <c r="F436" s="3" t="s">
        <v>13</v>
      </c>
      <c r="G436">
        <v>4243.59</v>
      </c>
    </row>
    <row r="437" spans="1:7" x14ac:dyDescent="0.25">
      <c r="A437" t="s">
        <v>26</v>
      </c>
      <c r="B437" s="3" t="s">
        <v>10</v>
      </c>
      <c r="C437" t="s">
        <v>20</v>
      </c>
      <c r="D437">
        <v>3</v>
      </c>
      <c r="E437" s="3" t="s">
        <v>11</v>
      </c>
      <c r="F437" s="3" t="s">
        <v>12</v>
      </c>
      <c r="G437">
        <v>13919.82</v>
      </c>
    </row>
    <row r="438" spans="1:7" x14ac:dyDescent="0.25">
      <c r="A438" t="s">
        <v>17</v>
      </c>
      <c r="B438" s="3" t="s">
        <v>10</v>
      </c>
      <c r="C438" t="s">
        <v>20</v>
      </c>
      <c r="D438">
        <v>0</v>
      </c>
      <c r="E438" s="3" t="s">
        <v>11</v>
      </c>
      <c r="F438" s="3" t="s">
        <v>14</v>
      </c>
      <c r="G438">
        <v>2254.8000000000002</v>
      </c>
    </row>
    <row r="439" spans="1:7" x14ac:dyDescent="0.25">
      <c r="A439" t="s">
        <v>22</v>
      </c>
      <c r="B439" s="3" t="s">
        <v>10</v>
      </c>
      <c r="C439" t="s">
        <v>18</v>
      </c>
      <c r="D439">
        <v>3</v>
      </c>
      <c r="E439" s="3" t="s">
        <v>11</v>
      </c>
      <c r="F439" s="3" t="s">
        <v>9</v>
      </c>
      <c r="G439">
        <v>5926.85</v>
      </c>
    </row>
    <row r="440" spans="1:7" x14ac:dyDescent="0.25">
      <c r="A440" t="s">
        <v>30</v>
      </c>
      <c r="B440" s="3" t="s">
        <v>7</v>
      </c>
      <c r="C440" t="s">
        <v>29</v>
      </c>
      <c r="D440">
        <v>5</v>
      </c>
      <c r="E440" s="3" t="s">
        <v>11</v>
      </c>
      <c r="F440" s="3" t="s">
        <v>12</v>
      </c>
      <c r="G440">
        <v>12592.53</v>
      </c>
    </row>
    <row r="441" spans="1:7" x14ac:dyDescent="0.25">
      <c r="A441" t="s">
        <v>21</v>
      </c>
      <c r="B441" s="3" t="s">
        <v>10</v>
      </c>
      <c r="C441" t="s">
        <v>18</v>
      </c>
      <c r="D441">
        <v>0</v>
      </c>
      <c r="E441" s="3" t="s">
        <v>11</v>
      </c>
      <c r="F441" s="3" t="s">
        <v>14</v>
      </c>
      <c r="G441">
        <v>2897.32</v>
      </c>
    </row>
    <row r="442" spans="1:7" x14ac:dyDescent="0.25">
      <c r="A442" t="s">
        <v>22</v>
      </c>
      <c r="B442" s="3" t="s">
        <v>7</v>
      </c>
      <c r="C442" t="s">
        <v>20</v>
      </c>
      <c r="D442">
        <v>1</v>
      </c>
      <c r="E442" s="3" t="s">
        <v>11</v>
      </c>
      <c r="F442" s="3" t="s">
        <v>13</v>
      </c>
      <c r="G442">
        <v>4738.2700000000004</v>
      </c>
    </row>
    <row r="443" spans="1:7" x14ac:dyDescent="0.25">
      <c r="A443" t="s">
        <v>22</v>
      </c>
      <c r="B443" s="3" t="s">
        <v>7</v>
      </c>
      <c r="C443" t="s">
        <v>20</v>
      </c>
      <c r="D443">
        <v>0</v>
      </c>
      <c r="E443" s="3" t="s">
        <v>8</v>
      </c>
      <c r="F443" s="3" t="s">
        <v>9</v>
      </c>
      <c r="G443">
        <v>37079.370000000003</v>
      </c>
    </row>
    <row r="444" spans="1:7" x14ac:dyDescent="0.25">
      <c r="A444" t="s">
        <v>19</v>
      </c>
      <c r="B444" s="3" t="s">
        <v>10</v>
      </c>
      <c r="C444" t="s">
        <v>29</v>
      </c>
      <c r="D444">
        <v>0</v>
      </c>
      <c r="E444" s="3" t="s">
        <v>11</v>
      </c>
      <c r="F444" s="3" t="s">
        <v>12</v>
      </c>
      <c r="G444">
        <v>1149.4000000000001</v>
      </c>
    </row>
    <row r="445" spans="1:7" x14ac:dyDescent="0.25">
      <c r="A445" t="s">
        <v>26</v>
      </c>
      <c r="B445" s="3" t="s">
        <v>7</v>
      </c>
      <c r="C445" t="s">
        <v>28</v>
      </c>
      <c r="D445">
        <v>1</v>
      </c>
      <c r="E445" s="3" t="s">
        <v>11</v>
      </c>
      <c r="F445" s="3" t="s">
        <v>12</v>
      </c>
      <c r="G445">
        <v>28287.9</v>
      </c>
    </row>
    <row r="446" spans="1:7" x14ac:dyDescent="0.25">
      <c r="A446" t="s">
        <v>26</v>
      </c>
      <c r="B446" s="3" t="s">
        <v>10</v>
      </c>
      <c r="C446" t="s">
        <v>18</v>
      </c>
      <c r="D446">
        <v>1</v>
      </c>
      <c r="E446" s="3" t="s">
        <v>8</v>
      </c>
      <c r="F446" s="3" t="s">
        <v>13</v>
      </c>
      <c r="G446">
        <v>26109.33</v>
      </c>
    </row>
    <row r="447" spans="1:7" x14ac:dyDescent="0.25">
      <c r="A447" t="s">
        <v>32</v>
      </c>
      <c r="B447" s="3" t="s">
        <v>7</v>
      </c>
      <c r="C447" t="s">
        <v>20</v>
      </c>
      <c r="D447">
        <v>0</v>
      </c>
      <c r="E447" s="3" t="s">
        <v>11</v>
      </c>
      <c r="F447" s="3" t="s">
        <v>9</v>
      </c>
      <c r="G447">
        <v>7345.08</v>
      </c>
    </row>
    <row r="448" spans="1:7" x14ac:dyDescent="0.25">
      <c r="A448" t="s">
        <v>26</v>
      </c>
      <c r="B448" s="3" t="s">
        <v>10</v>
      </c>
      <c r="C448" t="s">
        <v>18</v>
      </c>
      <c r="D448">
        <v>0</v>
      </c>
      <c r="E448" s="3" t="s">
        <v>11</v>
      </c>
      <c r="F448" s="3" t="s">
        <v>14</v>
      </c>
      <c r="G448">
        <v>12731</v>
      </c>
    </row>
    <row r="449" spans="1:7" x14ac:dyDescent="0.25">
      <c r="A449" t="s">
        <v>26</v>
      </c>
      <c r="B449" s="3" t="s">
        <v>7</v>
      </c>
      <c r="C449" t="s">
        <v>18</v>
      </c>
      <c r="D449">
        <v>0</v>
      </c>
      <c r="E449" s="3" t="s">
        <v>11</v>
      </c>
      <c r="F449" s="3" t="s">
        <v>13</v>
      </c>
      <c r="G449">
        <v>11454.02</v>
      </c>
    </row>
    <row r="450" spans="1:7" x14ac:dyDescent="0.25">
      <c r="A450" t="s">
        <v>25</v>
      </c>
      <c r="B450" s="3" t="s">
        <v>7</v>
      </c>
      <c r="C450" t="s">
        <v>18</v>
      </c>
      <c r="D450">
        <v>0</v>
      </c>
      <c r="E450" s="3" t="s">
        <v>11</v>
      </c>
      <c r="F450" s="3" t="s">
        <v>9</v>
      </c>
      <c r="G450">
        <v>5910.94</v>
      </c>
    </row>
    <row r="451" spans="1:7" x14ac:dyDescent="0.25">
      <c r="A451" t="s">
        <v>22</v>
      </c>
      <c r="B451" s="3" t="s">
        <v>10</v>
      </c>
      <c r="C451" t="s">
        <v>28</v>
      </c>
      <c r="D451">
        <v>1</v>
      </c>
      <c r="E451" s="3" t="s">
        <v>11</v>
      </c>
      <c r="F451" s="3" t="s">
        <v>9</v>
      </c>
      <c r="G451">
        <v>4762.33</v>
      </c>
    </row>
    <row r="452" spans="1:7" x14ac:dyDescent="0.25">
      <c r="A452" t="s">
        <v>25</v>
      </c>
      <c r="B452" s="3" t="s">
        <v>10</v>
      </c>
      <c r="C452" t="s">
        <v>18</v>
      </c>
      <c r="D452">
        <v>4</v>
      </c>
      <c r="E452" s="3" t="s">
        <v>11</v>
      </c>
      <c r="F452" s="3" t="s">
        <v>9</v>
      </c>
      <c r="G452">
        <v>7512.27</v>
      </c>
    </row>
    <row r="453" spans="1:7" x14ac:dyDescent="0.25">
      <c r="A453" t="s">
        <v>21</v>
      </c>
      <c r="B453" s="3" t="s">
        <v>10</v>
      </c>
      <c r="C453" t="s">
        <v>23</v>
      </c>
      <c r="D453">
        <v>1</v>
      </c>
      <c r="E453" s="3" t="s">
        <v>11</v>
      </c>
      <c r="F453" s="3" t="s">
        <v>13</v>
      </c>
      <c r="G453">
        <v>4032.24</v>
      </c>
    </row>
    <row r="454" spans="1:7" x14ac:dyDescent="0.25">
      <c r="A454" t="s">
        <v>17</v>
      </c>
      <c r="B454" s="3" t="s">
        <v>10</v>
      </c>
      <c r="C454" t="s">
        <v>23</v>
      </c>
      <c r="D454">
        <v>0</v>
      </c>
      <c r="E454" s="3" t="s">
        <v>11</v>
      </c>
      <c r="F454" s="3" t="s">
        <v>9</v>
      </c>
      <c r="G454">
        <v>1969.61</v>
      </c>
    </row>
    <row r="455" spans="1:7" x14ac:dyDescent="0.25">
      <c r="A455" t="s">
        <v>17</v>
      </c>
      <c r="B455" s="3" t="s">
        <v>10</v>
      </c>
      <c r="C455" t="s">
        <v>18</v>
      </c>
      <c r="D455">
        <v>0</v>
      </c>
      <c r="E455" s="3" t="s">
        <v>11</v>
      </c>
      <c r="F455" s="3" t="s">
        <v>13</v>
      </c>
      <c r="G455">
        <v>1769.53</v>
      </c>
    </row>
    <row r="456" spans="1:7" x14ac:dyDescent="0.25">
      <c r="A456" t="s">
        <v>22</v>
      </c>
      <c r="B456" s="3" t="s">
        <v>10</v>
      </c>
      <c r="C456" t="s">
        <v>29</v>
      </c>
      <c r="D456">
        <v>2</v>
      </c>
      <c r="E456" s="3" t="s">
        <v>11</v>
      </c>
      <c r="F456" s="3" t="s">
        <v>12</v>
      </c>
      <c r="G456">
        <v>4686.3900000000003</v>
      </c>
    </row>
    <row r="457" spans="1:7" x14ac:dyDescent="0.25">
      <c r="A457" t="s">
        <v>26</v>
      </c>
      <c r="B457" s="3" t="s">
        <v>10</v>
      </c>
      <c r="C457" t="s">
        <v>28</v>
      </c>
      <c r="D457">
        <v>0</v>
      </c>
      <c r="E457" s="3" t="s">
        <v>11</v>
      </c>
      <c r="F457" s="3" t="s">
        <v>9</v>
      </c>
      <c r="G457">
        <v>21797</v>
      </c>
    </row>
    <row r="458" spans="1:7" x14ac:dyDescent="0.25">
      <c r="A458" t="s">
        <v>30</v>
      </c>
      <c r="B458" s="3" t="s">
        <v>7</v>
      </c>
      <c r="C458" t="s">
        <v>20</v>
      </c>
      <c r="D458">
        <v>2</v>
      </c>
      <c r="E458" s="3" t="s">
        <v>11</v>
      </c>
      <c r="F458" s="3" t="s">
        <v>12</v>
      </c>
      <c r="G458">
        <v>11881.97</v>
      </c>
    </row>
    <row r="459" spans="1:7" x14ac:dyDescent="0.25">
      <c r="A459" t="s">
        <v>26</v>
      </c>
      <c r="B459" s="3" t="s">
        <v>7</v>
      </c>
      <c r="C459" t="s">
        <v>20</v>
      </c>
      <c r="D459">
        <v>0</v>
      </c>
      <c r="E459" s="3" t="s">
        <v>11</v>
      </c>
      <c r="F459" s="3" t="s">
        <v>13</v>
      </c>
      <c r="G459">
        <v>11840.78</v>
      </c>
    </row>
    <row r="460" spans="1:7" x14ac:dyDescent="0.25">
      <c r="A460" t="s">
        <v>26</v>
      </c>
      <c r="B460" s="3" t="s">
        <v>10</v>
      </c>
      <c r="C460" t="s">
        <v>28</v>
      </c>
      <c r="D460">
        <v>0</v>
      </c>
      <c r="E460" s="3" t="s">
        <v>11</v>
      </c>
      <c r="F460" s="3" t="s">
        <v>9</v>
      </c>
      <c r="G460">
        <v>10601.41</v>
      </c>
    </row>
    <row r="461" spans="1:7" x14ac:dyDescent="0.25">
      <c r="A461" t="s">
        <v>25</v>
      </c>
      <c r="B461" s="3" t="s">
        <v>7</v>
      </c>
      <c r="C461" t="s">
        <v>20</v>
      </c>
      <c r="D461">
        <v>3</v>
      </c>
      <c r="E461" s="3" t="s">
        <v>11</v>
      </c>
      <c r="F461" s="3" t="s">
        <v>12</v>
      </c>
      <c r="G461">
        <v>7682.67</v>
      </c>
    </row>
    <row r="462" spans="1:7" x14ac:dyDescent="0.25">
      <c r="A462" t="s">
        <v>24</v>
      </c>
      <c r="B462" s="3" t="s">
        <v>7</v>
      </c>
      <c r="C462" t="s">
        <v>28</v>
      </c>
      <c r="D462">
        <v>3</v>
      </c>
      <c r="E462" s="3" t="s">
        <v>11</v>
      </c>
      <c r="F462" s="3" t="s">
        <v>12</v>
      </c>
      <c r="G462">
        <v>10381.48</v>
      </c>
    </row>
    <row r="463" spans="1:7" x14ac:dyDescent="0.25">
      <c r="A463" t="s">
        <v>32</v>
      </c>
      <c r="B463" s="3" t="s">
        <v>10</v>
      </c>
      <c r="C463" t="s">
        <v>20</v>
      </c>
      <c r="D463">
        <v>0</v>
      </c>
      <c r="E463" s="3" t="s">
        <v>8</v>
      </c>
      <c r="F463" s="3" t="s">
        <v>9</v>
      </c>
      <c r="G463">
        <v>22144.03</v>
      </c>
    </row>
    <row r="464" spans="1:7" x14ac:dyDescent="0.25">
      <c r="A464" t="s">
        <v>27</v>
      </c>
      <c r="B464" s="3" t="s">
        <v>7</v>
      </c>
      <c r="C464" t="s">
        <v>28</v>
      </c>
      <c r="D464">
        <v>2</v>
      </c>
      <c r="E464" s="3" t="s">
        <v>11</v>
      </c>
      <c r="F464" s="3" t="s">
        <v>14</v>
      </c>
      <c r="G464">
        <v>15230.32</v>
      </c>
    </row>
    <row r="465" spans="1:7" x14ac:dyDescent="0.25">
      <c r="A465" t="s">
        <v>26</v>
      </c>
      <c r="B465" s="3" t="s">
        <v>10</v>
      </c>
      <c r="C465" t="s">
        <v>18</v>
      </c>
      <c r="D465">
        <v>0</v>
      </c>
      <c r="E465" s="3" t="s">
        <v>11</v>
      </c>
      <c r="F465" s="3" t="s">
        <v>14</v>
      </c>
      <c r="G465">
        <v>11165.42</v>
      </c>
    </row>
    <row r="466" spans="1:7" x14ac:dyDescent="0.25">
      <c r="A466" t="s">
        <v>17</v>
      </c>
      <c r="B466" s="3" t="s">
        <v>10</v>
      </c>
      <c r="C466" t="s">
        <v>18</v>
      </c>
      <c r="D466">
        <v>0</v>
      </c>
      <c r="E466" s="3" t="s">
        <v>11</v>
      </c>
      <c r="F466" s="3" t="s">
        <v>13</v>
      </c>
      <c r="G466">
        <v>1632.04</v>
      </c>
    </row>
    <row r="467" spans="1:7" x14ac:dyDescent="0.25">
      <c r="A467" t="s">
        <v>21</v>
      </c>
      <c r="B467" s="3" t="s">
        <v>7</v>
      </c>
      <c r="C467" t="s">
        <v>18</v>
      </c>
      <c r="D467">
        <v>1</v>
      </c>
      <c r="E467" s="3" t="s">
        <v>8</v>
      </c>
      <c r="F467" s="3" t="s">
        <v>12</v>
      </c>
      <c r="G467">
        <v>19521.97</v>
      </c>
    </row>
    <row r="468" spans="1:7" x14ac:dyDescent="0.25">
      <c r="A468" t="s">
        <v>26</v>
      </c>
      <c r="B468" s="3" t="s">
        <v>7</v>
      </c>
      <c r="C468" t="s">
        <v>18</v>
      </c>
      <c r="D468">
        <v>1</v>
      </c>
      <c r="E468" s="3" t="s">
        <v>11</v>
      </c>
      <c r="F468" s="3" t="s">
        <v>9</v>
      </c>
      <c r="G468">
        <v>13224.69</v>
      </c>
    </row>
    <row r="469" spans="1:7" x14ac:dyDescent="0.25">
      <c r="A469" t="s">
        <v>26</v>
      </c>
      <c r="B469" s="3" t="s">
        <v>7</v>
      </c>
      <c r="C469" t="s">
        <v>20</v>
      </c>
      <c r="D469">
        <v>2</v>
      </c>
      <c r="E469" s="3" t="s">
        <v>11</v>
      </c>
      <c r="F469" s="3" t="s">
        <v>13</v>
      </c>
      <c r="G469">
        <v>12643.38</v>
      </c>
    </row>
    <row r="470" spans="1:7" x14ac:dyDescent="0.25">
      <c r="A470" t="s">
        <v>21</v>
      </c>
      <c r="B470" s="3" t="s">
        <v>7</v>
      </c>
      <c r="C470" t="s">
        <v>23</v>
      </c>
      <c r="D470">
        <v>1</v>
      </c>
      <c r="E470" s="3" t="s">
        <v>11</v>
      </c>
      <c r="F470" s="3" t="s">
        <v>14</v>
      </c>
      <c r="G470">
        <v>23288.93</v>
      </c>
    </row>
    <row r="471" spans="1:7" x14ac:dyDescent="0.25">
      <c r="A471" t="s">
        <v>19</v>
      </c>
      <c r="B471" s="3" t="s">
        <v>7</v>
      </c>
      <c r="C471" t="s">
        <v>23</v>
      </c>
      <c r="D471">
        <v>1</v>
      </c>
      <c r="E471" s="3" t="s">
        <v>11</v>
      </c>
      <c r="F471" s="3" t="s">
        <v>12</v>
      </c>
      <c r="G471">
        <v>2201.1</v>
      </c>
    </row>
    <row r="472" spans="1:7" x14ac:dyDescent="0.25">
      <c r="A472" t="s">
        <v>21</v>
      </c>
      <c r="B472" s="3" t="s">
        <v>10</v>
      </c>
      <c r="C472" t="s">
        <v>20</v>
      </c>
      <c r="D472">
        <v>0</v>
      </c>
      <c r="E472" s="3" t="s">
        <v>11</v>
      </c>
      <c r="F472" s="3" t="s">
        <v>12</v>
      </c>
      <c r="G472">
        <v>2497.04</v>
      </c>
    </row>
    <row r="473" spans="1:7" x14ac:dyDescent="0.25">
      <c r="A473" t="s">
        <v>19</v>
      </c>
      <c r="B473" s="3" t="s">
        <v>7</v>
      </c>
      <c r="C473" t="s">
        <v>20</v>
      </c>
      <c r="D473">
        <v>0</v>
      </c>
      <c r="E473" s="3" t="s">
        <v>11</v>
      </c>
      <c r="F473" s="3" t="s">
        <v>14</v>
      </c>
      <c r="G473">
        <v>2203.4699999999998</v>
      </c>
    </row>
    <row r="474" spans="1:7" x14ac:dyDescent="0.25">
      <c r="A474" t="s">
        <v>17</v>
      </c>
      <c r="B474" s="3" t="s">
        <v>7</v>
      </c>
      <c r="C474" t="s">
        <v>18</v>
      </c>
      <c r="D474">
        <v>0</v>
      </c>
      <c r="E474" s="3" t="s">
        <v>11</v>
      </c>
      <c r="F474" s="3" t="s">
        <v>9</v>
      </c>
      <c r="G474">
        <v>1744.46</v>
      </c>
    </row>
    <row r="475" spans="1:7" x14ac:dyDescent="0.25">
      <c r="A475" t="s">
        <v>24</v>
      </c>
      <c r="B475" s="3" t="s">
        <v>7</v>
      </c>
      <c r="C475" t="s">
        <v>20</v>
      </c>
      <c r="D475">
        <v>0</v>
      </c>
      <c r="E475" s="3" t="s">
        <v>11</v>
      </c>
      <c r="F475" s="3" t="s">
        <v>14</v>
      </c>
      <c r="G475">
        <v>20878.78</v>
      </c>
    </row>
    <row r="476" spans="1:7" x14ac:dyDescent="0.25">
      <c r="A476" t="s">
        <v>30</v>
      </c>
      <c r="B476" s="3" t="s">
        <v>10</v>
      </c>
      <c r="C476" t="s">
        <v>18</v>
      </c>
      <c r="D476">
        <v>3</v>
      </c>
      <c r="E476" s="3" t="s">
        <v>8</v>
      </c>
      <c r="F476" s="3" t="s">
        <v>9</v>
      </c>
      <c r="G476">
        <v>25382.3</v>
      </c>
    </row>
    <row r="477" spans="1:7" x14ac:dyDescent="0.25">
      <c r="A477" t="s">
        <v>27</v>
      </c>
      <c r="B477" s="3" t="s">
        <v>10</v>
      </c>
      <c r="C477" t="s">
        <v>18</v>
      </c>
      <c r="D477">
        <v>1</v>
      </c>
      <c r="E477" s="3" t="s">
        <v>8</v>
      </c>
      <c r="F477" s="3" t="s">
        <v>13</v>
      </c>
      <c r="G477">
        <v>28868.66</v>
      </c>
    </row>
    <row r="478" spans="1:7" x14ac:dyDescent="0.25">
      <c r="A478" t="s">
        <v>17</v>
      </c>
      <c r="B478" s="3" t="s">
        <v>10</v>
      </c>
      <c r="C478" t="s">
        <v>18</v>
      </c>
      <c r="D478">
        <v>0</v>
      </c>
      <c r="E478" s="3" t="s">
        <v>8</v>
      </c>
      <c r="F478" s="3" t="s">
        <v>14</v>
      </c>
      <c r="G478">
        <v>35147.53</v>
      </c>
    </row>
    <row r="479" spans="1:7" x14ac:dyDescent="0.25">
      <c r="A479" t="s">
        <v>17</v>
      </c>
      <c r="B479" s="3" t="s">
        <v>10</v>
      </c>
      <c r="C479" t="s">
        <v>28</v>
      </c>
      <c r="D479">
        <v>0</v>
      </c>
      <c r="E479" s="3" t="s">
        <v>11</v>
      </c>
      <c r="F479" s="3" t="s">
        <v>13</v>
      </c>
      <c r="G479">
        <v>2534.39</v>
      </c>
    </row>
    <row r="480" spans="1:7" x14ac:dyDescent="0.25">
      <c r="A480" t="s">
        <v>17</v>
      </c>
      <c r="B480" s="3" t="s">
        <v>10</v>
      </c>
      <c r="C480" t="s">
        <v>28</v>
      </c>
      <c r="D480">
        <v>0</v>
      </c>
      <c r="E480" s="3" t="s">
        <v>11</v>
      </c>
      <c r="F480" s="3" t="s">
        <v>12</v>
      </c>
      <c r="G480">
        <v>1534.3</v>
      </c>
    </row>
    <row r="481" spans="1:7" x14ac:dyDescent="0.25">
      <c r="A481" t="s">
        <v>17</v>
      </c>
      <c r="B481" s="3" t="s">
        <v>10</v>
      </c>
      <c r="C481" t="s">
        <v>20</v>
      </c>
      <c r="D481">
        <v>0</v>
      </c>
      <c r="E481" s="3" t="s">
        <v>11</v>
      </c>
      <c r="F481" s="3" t="s">
        <v>12</v>
      </c>
      <c r="G481">
        <v>1824.29</v>
      </c>
    </row>
    <row r="482" spans="1:7" x14ac:dyDescent="0.25">
      <c r="A482" t="s">
        <v>27</v>
      </c>
      <c r="B482" s="3" t="s">
        <v>10</v>
      </c>
      <c r="C482" t="s">
        <v>29</v>
      </c>
      <c r="D482">
        <v>3</v>
      </c>
      <c r="E482" s="3" t="s">
        <v>11</v>
      </c>
      <c r="F482" s="3" t="s">
        <v>13</v>
      </c>
      <c r="G482">
        <v>15555.19</v>
      </c>
    </row>
    <row r="483" spans="1:7" x14ac:dyDescent="0.25">
      <c r="A483" t="s">
        <v>24</v>
      </c>
      <c r="B483" s="3" t="s">
        <v>10</v>
      </c>
      <c r="C483" t="s">
        <v>28</v>
      </c>
      <c r="D483">
        <v>2</v>
      </c>
      <c r="E483" s="3" t="s">
        <v>11</v>
      </c>
      <c r="F483" s="3" t="s">
        <v>12</v>
      </c>
      <c r="G483">
        <v>9304.7000000000007</v>
      </c>
    </row>
    <row r="484" spans="1:7" x14ac:dyDescent="0.25">
      <c r="A484" t="s">
        <v>19</v>
      </c>
      <c r="B484" s="3" t="s">
        <v>7</v>
      </c>
      <c r="C484" t="s">
        <v>20</v>
      </c>
      <c r="D484">
        <v>0</v>
      </c>
      <c r="E484" s="3" t="s">
        <v>11</v>
      </c>
      <c r="F484" s="3" t="s">
        <v>12</v>
      </c>
      <c r="G484">
        <v>1622.19</v>
      </c>
    </row>
    <row r="485" spans="1:7" x14ac:dyDescent="0.25">
      <c r="A485" t="s">
        <v>30</v>
      </c>
      <c r="B485" s="3" t="s">
        <v>7</v>
      </c>
      <c r="C485" t="s">
        <v>28</v>
      </c>
      <c r="D485">
        <v>1</v>
      </c>
      <c r="E485" s="3" t="s">
        <v>11</v>
      </c>
      <c r="F485" s="3" t="s">
        <v>9</v>
      </c>
      <c r="G485">
        <v>9880.07</v>
      </c>
    </row>
    <row r="486" spans="1:7" x14ac:dyDescent="0.25">
      <c r="A486" t="s">
        <v>24</v>
      </c>
      <c r="B486" s="3" t="s">
        <v>10</v>
      </c>
      <c r="C486" t="s">
        <v>20</v>
      </c>
      <c r="D486">
        <v>3</v>
      </c>
      <c r="E486" s="3" t="s">
        <v>11</v>
      </c>
      <c r="F486" s="3" t="s">
        <v>9</v>
      </c>
      <c r="G486">
        <v>9563.0300000000007</v>
      </c>
    </row>
    <row r="487" spans="1:7" x14ac:dyDescent="0.25">
      <c r="A487" t="s">
        <v>22</v>
      </c>
      <c r="B487" s="3" t="s">
        <v>7</v>
      </c>
      <c r="C487" t="s">
        <v>20</v>
      </c>
      <c r="D487">
        <v>0</v>
      </c>
      <c r="E487" s="3" t="s">
        <v>11</v>
      </c>
      <c r="F487" s="3" t="s">
        <v>14</v>
      </c>
      <c r="G487">
        <v>4347.0200000000004</v>
      </c>
    </row>
    <row r="488" spans="1:7" x14ac:dyDescent="0.25">
      <c r="A488" t="s">
        <v>30</v>
      </c>
      <c r="B488" s="3" t="s">
        <v>7</v>
      </c>
      <c r="C488" t="s">
        <v>23</v>
      </c>
      <c r="D488">
        <v>3</v>
      </c>
      <c r="E488" s="3" t="s">
        <v>11</v>
      </c>
      <c r="F488" s="3" t="s">
        <v>13</v>
      </c>
      <c r="G488">
        <v>12475.35</v>
      </c>
    </row>
    <row r="489" spans="1:7" x14ac:dyDescent="0.25">
      <c r="A489" t="s">
        <v>17</v>
      </c>
      <c r="B489" s="3" t="s">
        <v>10</v>
      </c>
      <c r="C489" t="s">
        <v>18</v>
      </c>
      <c r="D489">
        <v>0</v>
      </c>
      <c r="E489" s="3" t="s">
        <v>11</v>
      </c>
      <c r="F489" s="3" t="s">
        <v>9</v>
      </c>
      <c r="G489">
        <v>1253.94</v>
      </c>
    </row>
    <row r="490" spans="1:7" x14ac:dyDescent="0.25">
      <c r="A490" t="s">
        <v>32</v>
      </c>
      <c r="B490" s="3" t="s">
        <v>7</v>
      </c>
      <c r="C490" t="s">
        <v>28</v>
      </c>
      <c r="D490">
        <v>0</v>
      </c>
      <c r="E490" s="3" t="s">
        <v>8</v>
      </c>
      <c r="F490" s="3" t="s">
        <v>12</v>
      </c>
      <c r="G490">
        <v>48885.14</v>
      </c>
    </row>
    <row r="491" spans="1:7" x14ac:dyDescent="0.25">
      <c r="A491" t="s">
        <v>30</v>
      </c>
      <c r="B491" s="3" t="s">
        <v>10</v>
      </c>
      <c r="C491" t="s">
        <v>20</v>
      </c>
      <c r="D491">
        <v>1</v>
      </c>
      <c r="E491" s="3" t="s">
        <v>11</v>
      </c>
      <c r="F491" s="3" t="s">
        <v>13</v>
      </c>
      <c r="G491">
        <v>10461.98</v>
      </c>
    </row>
    <row r="492" spans="1:7" x14ac:dyDescent="0.25">
      <c r="A492" t="s">
        <v>17</v>
      </c>
      <c r="B492" s="3" t="s">
        <v>7</v>
      </c>
      <c r="C492" t="s">
        <v>20</v>
      </c>
      <c r="D492">
        <v>0</v>
      </c>
      <c r="E492" s="3" t="s">
        <v>11</v>
      </c>
      <c r="F492" s="3" t="s">
        <v>9</v>
      </c>
      <c r="G492">
        <v>1748.77</v>
      </c>
    </row>
    <row r="493" spans="1:7" x14ac:dyDescent="0.25">
      <c r="A493" t="s">
        <v>27</v>
      </c>
      <c r="B493" s="3" t="s">
        <v>7</v>
      </c>
      <c r="C493" t="s">
        <v>18</v>
      </c>
      <c r="D493">
        <v>0</v>
      </c>
      <c r="E493" s="3" t="s">
        <v>11</v>
      </c>
      <c r="F493" s="3" t="s">
        <v>12</v>
      </c>
      <c r="G493">
        <v>24513.09</v>
      </c>
    </row>
    <row r="494" spans="1:7" x14ac:dyDescent="0.25">
      <c r="A494" t="s">
        <v>19</v>
      </c>
      <c r="B494" s="3" t="s">
        <v>7</v>
      </c>
      <c r="C494" t="s">
        <v>18</v>
      </c>
      <c r="D494">
        <v>0</v>
      </c>
      <c r="E494" s="3" t="s">
        <v>11</v>
      </c>
      <c r="F494" s="3" t="s">
        <v>14</v>
      </c>
      <c r="G494">
        <v>2196.4699999999998</v>
      </c>
    </row>
    <row r="495" spans="1:7" x14ac:dyDescent="0.25">
      <c r="A495" t="s">
        <v>27</v>
      </c>
      <c r="B495" s="3" t="s">
        <v>10</v>
      </c>
      <c r="C495" t="s">
        <v>29</v>
      </c>
      <c r="D495">
        <v>0</v>
      </c>
      <c r="E495" s="3" t="s">
        <v>11</v>
      </c>
      <c r="F495" s="3" t="s">
        <v>9</v>
      </c>
      <c r="G495">
        <v>12574.05</v>
      </c>
    </row>
    <row r="496" spans="1:7" x14ac:dyDescent="0.25">
      <c r="A496" t="s">
        <v>17</v>
      </c>
      <c r="B496" s="3" t="s">
        <v>10</v>
      </c>
      <c r="C496" t="s">
        <v>18</v>
      </c>
      <c r="D496">
        <v>4</v>
      </c>
      <c r="E496" s="3" t="s">
        <v>8</v>
      </c>
      <c r="F496" s="3" t="s">
        <v>9</v>
      </c>
      <c r="G496">
        <v>17942.11</v>
      </c>
    </row>
    <row r="497" spans="1:7" x14ac:dyDescent="0.25">
      <c r="A497" t="s">
        <v>17</v>
      </c>
      <c r="B497" s="3" t="s">
        <v>10</v>
      </c>
      <c r="C497" t="s">
        <v>18</v>
      </c>
      <c r="D497">
        <v>0</v>
      </c>
      <c r="E497" s="3" t="s">
        <v>11</v>
      </c>
      <c r="F497" s="3" t="s">
        <v>14</v>
      </c>
      <c r="G497">
        <v>1967.02</v>
      </c>
    </row>
    <row r="498" spans="1:7" x14ac:dyDescent="0.25">
      <c r="A498" t="s">
        <v>22</v>
      </c>
      <c r="B498" s="3" t="s">
        <v>7</v>
      </c>
      <c r="C498" t="s">
        <v>23</v>
      </c>
      <c r="D498">
        <v>2</v>
      </c>
      <c r="E498" s="3" t="s">
        <v>11</v>
      </c>
      <c r="F498" s="3" t="s">
        <v>9</v>
      </c>
      <c r="G498">
        <v>4931.6499999999996</v>
      </c>
    </row>
    <row r="499" spans="1:7" x14ac:dyDescent="0.25">
      <c r="A499" t="s">
        <v>32</v>
      </c>
      <c r="B499" s="3" t="s">
        <v>10</v>
      </c>
      <c r="C499" t="s">
        <v>18</v>
      </c>
      <c r="D499">
        <v>2</v>
      </c>
      <c r="E499" s="3" t="s">
        <v>11</v>
      </c>
      <c r="F499" s="3" t="s">
        <v>9</v>
      </c>
      <c r="G499">
        <v>8027.97</v>
      </c>
    </row>
    <row r="500" spans="1:7" x14ac:dyDescent="0.25">
      <c r="A500" t="s">
        <v>32</v>
      </c>
      <c r="B500" s="3" t="s">
        <v>7</v>
      </c>
      <c r="C500" t="s">
        <v>23</v>
      </c>
      <c r="D500">
        <v>2</v>
      </c>
      <c r="E500" s="3" t="s">
        <v>11</v>
      </c>
      <c r="F500" s="3" t="s">
        <v>12</v>
      </c>
      <c r="G500">
        <v>8211.1</v>
      </c>
    </row>
    <row r="501" spans="1:7" x14ac:dyDescent="0.25">
      <c r="A501" t="s">
        <v>27</v>
      </c>
      <c r="B501" s="3" t="s">
        <v>7</v>
      </c>
      <c r="C501" t="s">
        <v>28</v>
      </c>
      <c r="D501">
        <v>0</v>
      </c>
      <c r="E501" s="3" t="s">
        <v>11</v>
      </c>
      <c r="F501" s="3" t="s">
        <v>9</v>
      </c>
      <c r="G501">
        <v>13470.86</v>
      </c>
    </row>
    <row r="502" spans="1:7" x14ac:dyDescent="0.25">
      <c r="A502" t="s">
        <v>21</v>
      </c>
      <c r="B502" s="3" t="s">
        <v>10</v>
      </c>
      <c r="C502" t="s">
        <v>20</v>
      </c>
      <c r="D502">
        <v>0</v>
      </c>
      <c r="E502" s="3" t="s">
        <v>8</v>
      </c>
      <c r="F502" s="3" t="s">
        <v>9</v>
      </c>
      <c r="G502">
        <v>36197.699999999997</v>
      </c>
    </row>
    <row r="503" spans="1:7" x14ac:dyDescent="0.25">
      <c r="A503" t="s">
        <v>32</v>
      </c>
      <c r="B503" s="3" t="s">
        <v>10</v>
      </c>
      <c r="C503" t="s">
        <v>18</v>
      </c>
      <c r="D503">
        <v>0</v>
      </c>
      <c r="E503" s="3" t="s">
        <v>11</v>
      </c>
      <c r="F503" s="3" t="s">
        <v>14</v>
      </c>
      <c r="G503">
        <v>6837.37</v>
      </c>
    </row>
    <row r="504" spans="1:7" x14ac:dyDescent="0.25">
      <c r="A504" t="s">
        <v>30</v>
      </c>
      <c r="B504" s="3" t="s">
        <v>10</v>
      </c>
      <c r="C504" t="s">
        <v>23</v>
      </c>
      <c r="D504">
        <v>1</v>
      </c>
      <c r="E504" s="3" t="s">
        <v>8</v>
      </c>
      <c r="F504" s="3" t="s">
        <v>12</v>
      </c>
      <c r="G504">
        <v>22218.11</v>
      </c>
    </row>
    <row r="505" spans="1:7" x14ac:dyDescent="0.25">
      <c r="A505" t="s">
        <v>17</v>
      </c>
      <c r="B505" s="3" t="s">
        <v>10</v>
      </c>
      <c r="C505" t="s">
        <v>20</v>
      </c>
      <c r="D505">
        <v>0</v>
      </c>
      <c r="E505" s="3" t="s">
        <v>8</v>
      </c>
      <c r="F505" s="3" t="s">
        <v>12</v>
      </c>
      <c r="G505">
        <v>32548.34</v>
      </c>
    </row>
    <row r="506" spans="1:7" x14ac:dyDescent="0.25">
      <c r="A506" t="s">
        <v>25</v>
      </c>
      <c r="B506" s="3" t="s">
        <v>7</v>
      </c>
      <c r="C506" t="s">
        <v>18</v>
      </c>
      <c r="D506">
        <v>1</v>
      </c>
      <c r="E506" s="3" t="s">
        <v>11</v>
      </c>
      <c r="F506" s="3" t="s">
        <v>12</v>
      </c>
      <c r="G506">
        <v>5974.38</v>
      </c>
    </row>
    <row r="507" spans="1:7" x14ac:dyDescent="0.25">
      <c r="A507" t="s">
        <v>25</v>
      </c>
      <c r="B507" s="3" t="s">
        <v>10</v>
      </c>
      <c r="C507" t="s">
        <v>20</v>
      </c>
      <c r="D507">
        <v>3</v>
      </c>
      <c r="E507" s="3" t="s">
        <v>11</v>
      </c>
      <c r="F507" s="3" t="s">
        <v>13</v>
      </c>
      <c r="G507">
        <v>6796.86</v>
      </c>
    </row>
    <row r="508" spans="1:7" x14ac:dyDescent="0.25">
      <c r="A508" t="s">
        <v>17</v>
      </c>
      <c r="B508" s="3" t="s">
        <v>10</v>
      </c>
      <c r="C508" t="s">
        <v>20</v>
      </c>
      <c r="D508">
        <v>1</v>
      </c>
      <c r="E508" s="3" t="s">
        <v>11</v>
      </c>
      <c r="F508" s="3" t="s">
        <v>13</v>
      </c>
      <c r="G508">
        <v>2643.27</v>
      </c>
    </row>
    <row r="509" spans="1:7" x14ac:dyDescent="0.25">
      <c r="A509" t="s">
        <v>17</v>
      </c>
      <c r="B509" s="3" t="s">
        <v>10</v>
      </c>
      <c r="C509" t="s">
        <v>23</v>
      </c>
      <c r="D509">
        <v>2</v>
      </c>
      <c r="E509" s="3" t="s">
        <v>11</v>
      </c>
      <c r="F509" s="3" t="s">
        <v>13</v>
      </c>
      <c r="G509">
        <v>3077.1</v>
      </c>
    </row>
    <row r="510" spans="1:7" x14ac:dyDescent="0.25">
      <c r="A510" t="s">
        <v>17</v>
      </c>
      <c r="B510" s="3" t="s">
        <v>7</v>
      </c>
      <c r="C510" t="s">
        <v>18</v>
      </c>
      <c r="D510">
        <v>0</v>
      </c>
      <c r="E510" s="3" t="s">
        <v>11</v>
      </c>
      <c r="F510" s="3" t="s">
        <v>14</v>
      </c>
      <c r="G510">
        <v>3044.21</v>
      </c>
    </row>
    <row r="511" spans="1:7" x14ac:dyDescent="0.25">
      <c r="A511" t="s">
        <v>26</v>
      </c>
      <c r="B511" s="3" t="s">
        <v>7</v>
      </c>
      <c r="C511" t="s">
        <v>18</v>
      </c>
      <c r="D511">
        <v>0</v>
      </c>
      <c r="E511" s="3" t="s">
        <v>11</v>
      </c>
      <c r="F511" s="3" t="s">
        <v>9</v>
      </c>
      <c r="G511">
        <v>11455.28</v>
      </c>
    </row>
    <row r="512" spans="1:7" x14ac:dyDescent="0.25">
      <c r="A512" t="s">
        <v>26</v>
      </c>
      <c r="B512" s="3" t="s">
        <v>10</v>
      </c>
      <c r="C512" t="s">
        <v>20</v>
      </c>
      <c r="D512">
        <v>1</v>
      </c>
      <c r="E512" s="3" t="s">
        <v>11</v>
      </c>
      <c r="F512" s="3" t="s">
        <v>14</v>
      </c>
      <c r="G512">
        <v>11763</v>
      </c>
    </row>
    <row r="513" spans="1:7" x14ac:dyDescent="0.25">
      <c r="A513" t="s">
        <v>21</v>
      </c>
      <c r="B513" s="3" t="s">
        <v>10</v>
      </c>
      <c r="C513" t="s">
        <v>20</v>
      </c>
      <c r="D513">
        <v>0</v>
      </c>
      <c r="E513" s="3" t="s">
        <v>11</v>
      </c>
      <c r="F513" s="3" t="s">
        <v>12</v>
      </c>
      <c r="G513">
        <v>2498.41</v>
      </c>
    </row>
    <row r="514" spans="1:7" x14ac:dyDescent="0.25">
      <c r="A514" t="s">
        <v>30</v>
      </c>
      <c r="B514" s="3" t="s">
        <v>10</v>
      </c>
      <c r="C514" t="s">
        <v>23</v>
      </c>
      <c r="D514">
        <v>0</v>
      </c>
      <c r="E514" s="3" t="s">
        <v>11</v>
      </c>
      <c r="F514" s="3" t="s">
        <v>14</v>
      </c>
      <c r="G514">
        <v>9361.33</v>
      </c>
    </row>
    <row r="515" spans="1:7" x14ac:dyDescent="0.25">
      <c r="A515" t="s">
        <v>17</v>
      </c>
      <c r="B515" s="3" t="s">
        <v>10</v>
      </c>
      <c r="C515" t="s">
        <v>20</v>
      </c>
      <c r="D515">
        <v>0</v>
      </c>
      <c r="E515" s="3" t="s">
        <v>11</v>
      </c>
      <c r="F515" s="3" t="s">
        <v>9</v>
      </c>
      <c r="G515">
        <v>1256.3</v>
      </c>
    </row>
    <row r="516" spans="1:7" x14ac:dyDescent="0.25">
      <c r="A516" t="s">
        <v>25</v>
      </c>
      <c r="B516" s="3" t="s">
        <v>10</v>
      </c>
      <c r="C516" t="s">
        <v>18</v>
      </c>
      <c r="D516">
        <v>1</v>
      </c>
      <c r="E516" s="3" t="s">
        <v>8</v>
      </c>
      <c r="F516" s="3" t="s">
        <v>9</v>
      </c>
      <c r="G516">
        <v>21082.16</v>
      </c>
    </row>
    <row r="517" spans="1:7" x14ac:dyDescent="0.25">
      <c r="A517" t="s">
        <v>26</v>
      </c>
      <c r="B517" s="3" t="s">
        <v>10</v>
      </c>
      <c r="C517" t="s">
        <v>28</v>
      </c>
      <c r="D517">
        <v>0</v>
      </c>
      <c r="E517" s="3" t="s">
        <v>11</v>
      </c>
      <c r="F517" s="3" t="s">
        <v>9</v>
      </c>
      <c r="G517">
        <v>11362.76</v>
      </c>
    </row>
    <row r="518" spans="1:7" x14ac:dyDescent="0.25">
      <c r="A518" t="s">
        <v>17</v>
      </c>
      <c r="B518" s="3" t="s">
        <v>10</v>
      </c>
      <c r="C518" t="s">
        <v>28</v>
      </c>
      <c r="D518">
        <v>1</v>
      </c>
      <c r="E518" s="3" t="s">
        <v>11</v>
      </c>
      <c r="F518" s="3" t="s">
        <v>12</v>
      </c>
      <c r="G518">
        <v>27724.29</v>
      </c>
    </row>
    <row r="519" spans="1:7" x14ac:dyDescent="0.25">
      <c r="A519" t="s">
        <v>32</v>
      </c>
      <c r="B519" s="3" t="s">
        <v>10</v>
      </c>
      <c r="C519" t="s">
        <v>20</v>
      </c>
      <c r="D519">
        <v>2</v>
      </c>
      <c r="E519" s="3" t="s">
        <v>11</v>
      </c>
      <c r="F519" s="3" t="s">
        <v>13</v>
      </c>
      <c r="G519">
        <v>8413.4599999999991</v>
      </c>
    </row>
    <row r="520" spans="1:7" x14ac:dyDescent="0.25">
      <c r="A520" t="s">
        <v>22</v>
      </c>
      <c r="B520" s="3" t="s">
        <v>7</v>
      </c>
      <c r="C520" t="s">
        <v>20</v>
      </c>
      <c r="D520">
        <v>1</v>
      </c>
      <c r="E520" s="3" t="s">
        <v>11</v>
      </c>
      <c r="F520" s="3" t="s">
        <v>9</v>
      </c>
      <c r="G520">
        <v>5240.76</v>
      </c>
    </row>
    <row r="521" spans="1:7" x14ac:dyDescent="0.25">
      <c r="A521" t="s">
        <v>22</v>
      </c>
      <c r="B521" s="3" t="s">
        <v>10</v>
      </c>
      <c r="C521" t="s">
        <v>20</v>
      </c>
      <c r="D521">
        <v>0</v>
      </c>
      <c r="E521" s="3" t="s">
        <v>11</v>
      </c>
      <c r="F521" s="3" t="s">
        <v>14</v>
      </c>
      <c r="G521">
        <v>3857.76</v>
      </c>
    </row>
    <row r="522" spans="1:7" x14ac:dyDescent="0.25">
      <c r="A522" t="s">
        <v>24</v>
      </c>
      <c r="B522" s="3" t="s">
        <v>7</v>
      </c>
      <c r="C522" t="s">
        <v>18</v>
      </c>
      <c r="D522">
        <v>0</v>
      </c>
      <c r="E522" s="3" t="s">
        <v>11</v>
      </c>
      <c r="F522" s="3" t="s">
        <v>14</v>
      </c>
      <c r="G522">
        <v>25656.58</v>
      </c>
    </row>
    <row r="523" spans="1:7" x14ac:dyDescent="0.25">
      <c r="A523" t="s">
        <v>22</v>
      </c>
      <c r="B523" s="3" t="s">
        <v>7</v>
      </c>
      <c r="C523" t="s">
        <v>29</v>
      </c>
      <c r="D523">
        <v>0</v>
      </c>
      <c r="E523" s="3" t="s">
        <v>11</v>
      </c>
      <c r="F523" s="3" t="s">
        <v>12</v>
      </c>
      <c r="G523">
        <v>3994.18</v>
      </c>
    </row>
    <row r="524" spans="1:7" x14ac:dyDescent="0.25">
      <c r="A524" t="s">
        <v>30</v>
      </c>
      <c r="B524" s="3" t="s">
        <v>7</v>
      </c>
      <c r="C524" t="s">
        <v>20</v>
      </c>
      <c r="D524">
        <v>0</v>
      </c>
      <c r="E524" s="3" t="s">
        <v>11</v>
      </c>
      <c r="F524" s="3" t="s">
        <v>14</v>
      </c>
      <c r="G524">
        <v>9866.2999999999993</v>
      </c>
    </row>
    <row r="525" spans="1:7" x14ac:dyDescent="0.25">
      <c r="A525" t="s">
        <v>25</v>
      </c>
      <c r="B525" s="3" t="s">
        <v>7</v>
      </c>
      <c r="C525" t="s">
        <v>28</v>
      </c>
      <c r="D525">
        <v>0</v>
      </c>
      <c r="E525" s="3" t="s">
        <v>11</v>
      </c>
      <c r="F525" s="3" t="s">
        <v>12</v>
      </c>
      <c r="G525">
        <v>5397.62</v>
      </c>
    </row>
    <row r="526" spans="1:7" x14ac:dyDescent="0.25">
      <c r="A526" t="s">
        <v>32</v>
      </c>
      <c r="B526" s="3" t="s">
        <v>10</v>
      </c>
      <c r="C526" t="s">
        <v>18</v>
      </c>
      <c r="D526">
        <v>1</v>
      </c>
      <c r="E526" s="3" t="s">
        <v>8</v>
      </c>
      <c r="F526" s="3" t="s">
        <v>12</v>
      </c>
      <c r="G526">
        <v>38245.589999999997</v>
      </c>
    </row>
    <row r="527" spans="1:7" x14ac:dyDescent="0.25">
      <c r="A527" t="s">
        <v>19</v>
      </c>
      <c r="B527" s="3" t="s">
        <v>7</v>
      </c>
      <c r="C527" t="s">
        <v>20</v>
      </c>
      <c r="D527">
        <v>0</v>
      </c>
      <c r="E527" s="3" t="s">
        <v>11</v>
      </c>
      <c r="F527" s="3" t="s">
        <v>12</v>
      </c>
      <c r="G527">
        <v>11482.63</v>
      </c>
    </row>
    <row r="528" spans="1:7" x14ac:dyDescent="0.25">
      <c r="A528" t="s">
        <v>17</v>
      </c>
      <c r="B528" s="3" t="s">
        <v>7</v>
      </c>
      <c r="C528" t="s">
        <v>20</v>
      </c>
      <c r="D528">
        <v>2</v>
      </c>
      <c r="E528" s="3" t="s">
        <v>11</v>
      </c>
      <c r="F528" s="3" t="s">
        <v>13</v>
      </c>
      <c r="G528">
        <v>24059.68</v>
      </c>
    </row>
    <row r="529" spans="1:7" x14ac:dyDescent="0.25">
      <c r="A529" t="s">
        <v>30</v>
      </c>
      <c r="B529" s="3" t="s">
        <v>7</v>
      </c>
      <c r="C529" t="s">
        <v>18</v>
      </c>
      <c r="D529">
        <v>1</v>
      </c>
      <c r="E529" s="3" t="s">
        <v>11</v>
      </c>
      <c r="F529" s="3" t="s">
        <v>9</v>
      </c>
      <c r="G529">
        <v>9861.02</v>
      </c>
    </row>
    <row r="530" spans="1:7" x14ac:dyDescent="0.25">
      <c r="A530" t="s">
        <v>24</v>
      </c>
      <c r="B530" s="3" t="s">
        <v>10</v>
      </c>
      <c r="C530" t="s">
        <v>28</v>
      </c>
      <c r="D530">
        <v>1</v>
      </c>
      <c r="E530" s="3" t="s">
        <v>11</v>
      </c>
      <c r="F530" s="3" t="s">
        <v>14</v>
      </c>
      <c r="G530">
        <v>8342.91</v>
      </c>
    </row>
    <row r="531" spans="1:7" x14ac:dyDescent="0.25">
      <c r="A531" t="s">
        <v>19</v>
      </c>
      <c r="B531" s="3" t="s">
        <v>10</v>
      </c>
      <c r="C531" t="s">
        <v>18</v>
      </c>
      <c r="D531">
        <v>0</v>
      </c>
      <c r="E531" s="3" t="s">
        <v>11</v>
      </c>
      <c r="F531" s="3" t="s">
        <v>14</v>
      </c>
      <c r="G531">
        <v>1708</v>
      </c>
    </row>
    <row r="532" spans="1:7" x14ac:dyDescent="0.25">
      <c r="A532" t="s">
        <v>26</v>
      </c>
      <c r="B532" s="3" t="s">
        <v>10</v>
      </c>
      <c r="C532" t="s">
        <v>29</v>
      </c>
      <c r="D532">
        <v>1</v>
      </c>
      <c r="E532" s="3" t="s">
        <v>8</v>
      </c>
      <c r="F532" s="3" t="s">
        <v>12</v>
      </c>
      <c r="G532">
        <v>48675.519999999997</v>
      </c>
    </row>
    <row r="533" spans="1:7" x14ac:dyDescent="0.25">
      <c r="A533" t="s">
        <v>27</v>
      </c>
      <c r="B533" s="3" t="s">
        <v>7</v>
      </c>
      <c r="C533" t="s">
        <v>20</v>
      </c>
      <c r="D533">
        <v>0</v>
      </c>
      <c r="E533" s="3" t="s">
        <v>11</v>
      </c>
      <c r="F533" s="3" t="s">
        <v>14</v>
      </c>
      <c r="G533">
        <v>14043.48</v>
      </c>
    </row>
    <row r="534" spans="1:7" x14ac:dyDescent="0.25">
      <c r="A534" t="s">
        <v>26</v>
      </c>
      <c r="B534" s="3" t="s">
        <v>10</v>
      </c>
      <c r="C534" t="s">
        <v>18</v>
      </c>
      <c r="D534">
        <v>2</v>
      </c>
      <c r="E534" s="3" t="s">
        <v>11</v>
      </c>
      <c r="F534" s="3" t="s">
        <v>12</v>
      </c>
      <c r="G534">
        <v>12925.89</v>
      </c>
    </row>
    <row r="535" spans="1:7" x14ac:dyDescent="0.25">
      <c r="A535" t="s">
        <v>25</v>
      </c>
      <c r="B535" s="3" t="s">
        <v>10</v>
      </c>
      <c r="C535" t="s">
        <v>28</v>
      </c>
      <c r="D535">
        <v>0</v>
      </c>
      <c r="E535" s="3" t="s">
        <v>11</v>
      </c>
      <c r="F535" s="3" t="s">
        <v>12</v>
      </c>
      <c r="G535">
        <v>19214.71</v>
      </c>
    </row>
    <row r="536" spans="1:7" x14ac:dyDescent="0.25">
      <c r="A536" t="s">
        <v>27</v>
      </c>
      <c r="B536" s="3" t="s">
        <v>10</v>
      </c>
      <c r="C536" t="s">
        <v>29</v>
      </c>
      <c r="D536">
        <v>0</v>
      </c>
      <c r="E536" s="3" t="s">
        <v>11</v>
      </c>
      <c r="F536" s="3" t="s">
        <v>12</v>
      </c>
      <c r="G536">
        <v>13831.12</v>
      </c>
    </row>
    <row r="537" spans="1:7" x14ac:dyDescent="0.25">
      <c r="A537" t="s">
        <v>25</v>
      </c>
      <c r="B537" s="3" t="s">
        <v>10</v>
      </c>
      <c r="C537" t="s">
        <v>18</v>
      </c>
      <c r="D537">
        <v>1</v>
      </c>
      <c r="E537" s="3" t="s">
        <v>11</v>
      </c>
      <c r="F537" s="3" t="s">
        <v>14</v>
      </c>
      <c r="G537">
        <v>6067.13</v>
      </c>
    </row>
    <row r="538" spans="1:7" x14ac:dyDescent="0.25">
      <c r="A538" t="s">
        <v>22</v>
      </c>
      <c r="B538" s="3" t="s">
        <v>7</v>
      </c>
      <c r="C538" t="s">
        <v>28</v>
      </c>
      <c r="D538">
        <v>3</v>
      </c>
      <c r="E538" s="3" t="s">
        <v>11</v>
      </c>
      <c r="F538" s="3" t="s">
        <v>9</v>
      </c>
      <c r="G538">
        <v>5972.38</v>
      </c>
    </row>
    <row r="539" spans="1:7" x14ac:dyDescent="0.25">
      <c r="A539" t="s">
        <v>24</v>
      </c>
      <c r="B539" s="3" t="s">
        <v>7</v>
      </c>
      <c r="C539" t="s">
        <v>20</v>
      </c>
      <c r="D539">
        <v>2</v>
      </c>
      <c r="E539" s="3" t="s">
        <v>11</v>
      </c>
      <c r="F539" s="3" t="s">
        <v>9</v>
      </c>
      <c r="G539">
        <v>8825.09</v>
      </c>
    </row>
    <row r="540" spans="1:7" x14ac:dyDescent="0.25">
      <c r="A540" t="s">
        <v>24</v>
      </c>
      <c r="B540" s="3" t="s">
        <v>7</v>
      </c>
      <c r="C540" t="s">
        <v>18</v>
      </c>
      <c r="D540">
        <v>1</v>
      </c>
      <c r="E540" s="3" t="s">
        <v>11</v>
      </c>
      <c r="F540" s="3" t="s">
        <v>12</v>
      </c>
      <c r="G540">
        <v>8233.1</v>
      </c>
    </row>
    <row r="541" spans="1:7" x14ac:dyDescent="0.25">
      <c r="A541" t="s">
        <v>30</v>
      </c>
      <c r="B541" s="3" t="s">
        <v>10</v>
      </c>
      <c r="C541" t="s">
        <v>20</v>
      </c>
      <c r="D541">
        <v>0</v>
      </c>
      <c r="E541" s="3" t="s">
        <v>11</v>
      </c>
      <c r="F541" s="3" t="s">
        <v>12</v>
      </c>
      <c r="G541">
        <v>27346.04</v>
      </c>
    </row>
    <row r="542" spans="1:7" x14ac:dyDescent="0.25">
      <c r="A542" t="s">
        <v>22</v>
      </c>
      <c r="B542" s="3" t="s">
        <v>7</v>
      </c>
      <c r="C542" t="s">
        <v>28</v>
      </c>
      <c r="D542">
        <v>3</v>
      </c>
      <c r="E542" s="3" t="s">
        <v>11</v>
      </c>
      <c r="F542" s="3" t="s">
        <v>9</v>
      </c>
      <c r="G542">
        <v>6196.45</v>
      </c>
    </row>
    <row r="543" spans="1:7" x14ac:dyDescent="0.25">
      <c r="A543" t="s">
        <v>17</v>
      </c>
      <c r="B543" s="3" t="s">
        <v>7</v>
      </c>
      <c r="C543" t="s">
        <v>20</v>
      </c>
      <c r="D543">
        <v>2</v>
      </c>
      <c r="E543" s="3" t="s">
        <v>11</v>
      </c>
      <c r="F543" s="3" t="s">
        <v>12</v>
      </c>
      <c r="G543">
        <v>3056.39</v>
      </c>
    </row>
    <row r="544" spans="1:7" x14ac:dyDescent="0.25">
      <c r="A544" t="s">
        <v>27</v>
      </c>
      <c r="B544" s="3" t="s">
        <v>7</v>
      </c>
      <c r="C544" t="s">
        <v>28</v>
      </c>
      <c r="D544">
        <v>0</v>
      </c>
      <c r="E544" s="3" t="s">
        <v>11</v>
      </c>
      <c r="F544" s="3" t="s">
        <v>12</v>
      </c>
      <c r="G544">
        <v>13887.2</v>
      </c>
    </row>
    <row r="545" spans="1:7" x14ac:dyDescent="0.25">
      <c r="A545" t="s">
        <v>30</v>
      </c>
      <c r="B545" s="3" t="s">
        <v>7</v>
      </c>
      <c r="C545" t="s">
        <v>29</v>
      </c>
      <c r="D545">
        <v>0</v>
      </c>
      <c r="E545" s="3" t="s">
        <v>8</v>
      </c>
      <c r="F545" s="3" t="s">
        <v>12</v>
      </c>
      <c r="G545">
        <v>63770.43</v>
      </c>
    </row>
    <row r="546" spans="1:7" x14ac:dyDescent="0.25">
      <c r="A546" t="s">
        <v>30</v>
      </c>
      <c r="B546" s="3" t="s">
        <v>10</v>
      </c>
      <c r="C546" t="s">
        <v>20</v>
      </c>
      <c r="D546">
        <v>0</v>
      </c>
      <c r="E546" s="3" t="s">
        <v>11</v>
      </c>
      <c r="F546" s="3" t="s">
        <v>13</v>
      </c>
      <c r="G546">
        <v>10231.5</v>
      </c>
    </row>
    <row r="547" spans="1:7" x14ac:dyDescent="0.25">
      <c r="A547" t="s">
        <v>24</v>
      </c>
      <c r="B547" s="3" t="s">
        <v>10</v>
      </c>
      <c r="C547" t="s">
        <v>18</v>
      </c>
      <c r="D547">
        <v>2</v>
      </c>
      <c r="E547" s="3" t="s">
        <v>8</v>
      </c>
      <c r="F547" s="3" t="s">
        <v>13</v>
      </c>
      <c r="G547">
        <v>23807.24</v>
      </c>
    </row>
    <row r="548" spans="1:7" x14ac:dyDescent="0.25">
      <c r="A548" t="s">
        <v>21</v>
      </c>
      <c r="B548" s="3" t="s">
        <v>10</v>
      </c>
      <c r="C548" t="s">
        <v>28</v>
      </c>
      <c r="D548">
        <v>0</v>
      </c>
      <c r="E548" s="3" t="s">
        <v>11</v>
      </c>
      <c r="F548" s="3" t="s">
        <v>14</v>
      </c>
      <c r="G548">
        <v>3268.85</v>
      </c>
    </row>
    <row r="549" spans="1:7" x14ac:dyDescent="0.25">
      <c r="A549" t="s">
        <v>30</v>
      </c>
      <c r="B549" s="3" t="s">
        <v>7</v>
      </c>
      <c r="C549" t="s">
        <v>29</v>
      </c>
      <c r="D549">
        <v>2</v>
      </c>
      <c r="E549" s="3" t="s">
        <v>11</v>
      </c>
      <c r="F549" s="3" t="s">
        <v>9</v>
      </c>
      <c r="G549">
        <v>11538.42</v>
      </c>
    </row>
    <row r="550" spans="1:7" x14ac:dyDescent="0.25">
      <c r="A550" t="s">
        <v>17</v>
      </c>
      <c r="B550" s="3" t="s">
        <v>7</v>
      </c>
      <c r="C550" t="s">
        <v>18</v>
      </c>
      <c r="D550">
        <v>0</v>
      </c>
      <c r="E550" s="3" t="s">
        <v>11</v>
      </c>
      <c r="F550" s="3" t="s">
        <v>14</v>
      </c>
      <c r="G550">
        <v>3213.62</v>
      </c>
    </row>
    <row r="551" spans="1:7" x14ac:dyDescent="0.25">
      <c r="A551" t="s">
        <v>32</v>
      </c>
      <c r="B551" s="3" t="s">
        <v>7</v>
      </c>
      <c r="C551" t="s">
        <v>29</v>
      </c>
      <c r="D551">
        <v>0</v>
      </c>
      <c r="E551" s="3" t="s">
        <v>8</v>
      </c>
      <c r="F551" s="3" t="s">
        <v>12</v>
      </c>
      <c r="G551">
        <v>45863.199999999997</v>
      </c>
    </row>
    <row r="552" spans="1:7" x14ac:dyDescent="0.25">
      <c r="A552" t="s">
        <v>27</v>
      </c>
      <c r="B552" s="3" t="s">
        <v>10</v>
      </c>
      <c r="C552" t="s">
        <v>20</v>
      </c>
      <c r="D552">
        <v>0</v>
      </c>
      <c r="E552" s="3" t="s">
        <v>11</v>
      </c>
      <c r="F552" s="3" t="s">
        <v>9</v>
      </c>
      <c r="G552">
        <v>13390.56</v>
      </c>
    </row>
    <row r="553" spans="1:7" x14ac:dyDescent="0.25">
      <c r="A553" t="s">
        <v>22</v>
      </c>
      <c r="B553" s="3" t="s">
        <v>7</v>
      </c>
      <c r="C553" t="s">
        <v>18</v>
      </c>
      <c r="D553">
        <v>0</v>
      </c>
      <c r="E553" s="3" t="s">
        <v>11</v>
      </c>
      <c r="F553" s="3" t="s">
        <v>12</v>
      </c>
      <c r="G553">
        <v>3972.92</v>
      </c>
    </row>
    <row r="554" spans="1:7" x14ac:dyDescent="0.25">
      <c r="A554" t="s">
        <v>27</v>
      </c>
      <c r="B554" s="3" t="s">
        <v>10</v>
      </c>
      <c r="C554" t="s">
        <v>23</v>
      </c>
      <c r="D554">
        <v>0</v>
      </c>
      <c r="E554" s="3" t="s">
        <v>11</v>
      </c>
      <c r="F554" s="3" t="s">
        <v>9</v>
      </c>
      <c r="G554">
        <v>12957.12</v>
      </c>
    </row>
    <row r="555" spans="1:7" x14ac:dyDescent="0.25">
      <c r="A555" t="s">
        <v>30</v>
      </c>
      <c r="B555" s="3" t="s">
        <v>7</v>
      </c>
      <c r="C555" t="s">
        <v>20</v>
      </c>
      <c r="D555">
        <v>2</v>
      </c>
      <c r="E555" s="3" t="s">
        <v>11</v>
      </c>
      <c r="F555" s="3" t="s">
        <v>13</v>
      </c>
      <c r="G555">
        <v>11187.66</v>
      </c>
    </row>
    <row r="556" spans="1:7" x14ac:dyDescent="0.25">
      <c r="A556" t="s">
        <v>17</v>
      </c>
      <c r="B556" s="3" t="s">
        <v>7</v>
      </c>
      <c r="C556" t="s">
        <v>29</v>
      </c>
      <c r="D556">
        <v>0</v>
      </c>
      <c r="E556" s="3" t="s">
        <v>11</v>
      </c>
      <c r="F556" s="3" t="s">
        <v>14</v>
      </c>
      <c r="G556">
        <v>17878.900000000001</v>
      </c>
    </row>
    <row r="557" spans="1:7" x14ac:dyDescent="0.25">
      <c r="A557" t="s">
        <v>21</v>
      </c>
      <c r="B557" s="3" t="s">
        <v>10</v>
      </c>
      <c r="C557" t="s">
        <v>23</v>
      </c>
      <c r="D557">
        <v>2</v>
      </c>
      <c r="E557" s="3" t="s">
        <v>11</v>
      </c>
      <c r="F557" s="3" t="s">
        <v>9</v>
      </c>
      <c r="G557">
        <v>3847.67</v>
      </c>
    </row>
    <row r="558" spans="1:7" x14ac:dyDescent="0.25">
      <c r="A558" t="s">
        <v>24</v>
      </c>
      <c r="B558" s="3" t="s">
        <v>10</v>
      </c>
      <c r="C558" t="s">
        <v>20</v>
      </c>
      <c r="D558">
        <v>1</v>
      </c>
      <c r="E558" s="3" t="s">
        <v>11</v>
      </c>
      <c r="F558" s="3" t="s">
        <v>14</v>
      </c>
      <c r="G558">
        <v>8334.59</v>
      </c>
    </row>
    <row r="559" spans="1:7" x14ac:dyDescent="0.25">
      <c r="A559" t="s">
        <v>22</v>
      </c>
      <c r="B559" s="3" t="s">
        <v>10</v>
      </c>
      <c r="C559" t="s">
        <v>20</v>
      </c>
      <c r="D559">
        <v>0</v>
      </c>
      <c r="E559" s="3" t="s">
        <v>11</v>
      </c>
      <c r="F559" s="3" t="s">
        <v>12</v>
      </c>
      <c r="G559">
        <v>3935.18</v>
      </c>
    </row>
    <row r="560" spans="1:7" x14ac:dyDescent="0.25">
      <c r="A560" t="s">
        <v>22</v>
      </c>
      <c r="B560" s="3" t="s">
        <v>7</v>
      </c>
      <c r="C560" t="s">
        <v>20</v>
      </c>
      <c r="D560">
        <v>3</v>
      </c>
      <c r="E560" s="3" t="s">
        <v>8</v>
      </c>
      <c r="F560" s="3" t="s">
        <v>13</v>
      </c>
      <c r="G560">
        <v>39983.43</v>
      </c>
    </row>
    <row r="561" spans="1:7" x14ac:dyDescent="0.25">
      <c r="A561" t="s">
        <v>17</v>
      </c>
      <c r="B561" s="3" t="s">
        <v>10</v>
      </c>
      <c r="C561" t="s">
        <v>28</v>
      </c>
      <c r="D561">
        <v>0</v>
      </c>
      <c r="E561" s="3" t="s">
        <v>11</v>
      </c>
      <c r="F561" s="3" t="s">
        <v>13</v>
      </c>
      <c r="G561">
        <v>1646.43</v>
      </c>
    </row>
    <row r="562" spans="1:7" x14ac:dyDescent="0.25">
      <c r="A562" t="s">
        <v>24</v>
      </c>
      <c r="B562" s="3" t="s">
        <v>7</v>
      </c>
      <c r="C562" t="s">
        <v>23</v>
      </c>
      <c r="D562">
        <v>2</v>
      </c>
      <c r="E562" s="3" t="s">
        <v>11</v>
      </c>
      <c r="F562" s="3" t="s">
        <v>13</v>
      </c>
      <c r="G562">
        <v>9193.84</v>
      </c>
    </row>
    <row r="563" spans="1:7" x14ac:dyDescent="0.25">
      <c r="A563" t="s">
        <v>30</v>
      </c>
      <c r="B563" s="3" t="s">
        <v>7</v>
      </c>
      <c r="C563" t="s">
        <v>20</v>
      </c>
      <c r="D563">
        <v>0</v>
      </c>
      <c r="E563" s="3" t="s">
        <v>11</v>
      </c>
      <c r="F563" s="3" t="s">
        <v>14</v>
      </c>
      <c r="G563">
        <v>10923.93</v>
      </c>
    </row>
    <row r="564" spans="1:7" x14ac:dyDescent="0.25">
      <c r="A564" t="s">
        <v>21</v>
      </c>
      <c r="B564" s="3" t="s">
        <v>10</v>
      </c>
      <c r="C564" t="s">
        <v>20</v>
      </c>
      <c r="D564">
        <v>0</v>
      </c>
      <c r="E564" s="3" t="s">
        <v>11</v>
      </c>
      <c r="F564" s="3" t="s">
        <v>9</v>
      </c>
      <c r="G564">
        <v>2494.02</v>
      </c>
    </row>
    <row r="565" spans="1:7" x14ac:dyDescent="0.25">
      <c r="A565" t="s">
        <v>24</v>
      </c>
      <c r="B565" s="3" t="s">
        <v>10</v>
      </c>
      <c r="C565" t="s">
        <v>29</v>
      </c>
      <c r="D565">
        <v>1</v>
      </c>
      <c r="E565" s="3" t="s">
        <v>11</v>
      </c>
      <c r="F565" s="3" t="s">
        <v>12</v>
      </c>
      <c r="G565">
        <v>9058.73</v>
      </c>
    </row>
    <row r="566" spans="1:7" x14ac:dyDescent="0.25">
      <c r="A566" t="s">
        <v>19</v>
      </c>
      <c r="B566" s="3" t="s">
        <v>7</v>
      </c>
      <c r="C566" t="s">
        <v>20</v>
      </c>
      <c r="D566">
        <v>2</v>
      </c>
      <c r="E566" s="3" t="s">
        <v>11</v>
      </c>
      <c r="F566" s="3" t="s">
        <v>12</v>
      </c>
      <c r="G566">
        <v>2801.26</v>
      </c>
    </row>
    <row r="567" spans="1:7" x14ac:dyDescent="0.25">
      <c r="A567" t="s">
        <v>17</v>
      </c>
      <c r="B567" s="3" t="s">
        <v>7</v>
      </c>
      <c r="C567" t="s">
        <v>20</v>
      </c>
      <c r="D567">
        <v>0</v>
      </c>
      <c r="E567" s="3" t="s">
        <v>11</v>
      </c>
      <c r="F567" s="3" t="s">
        <v>13</v>
      </c>
      <c r="G567">
        <v>2128.4299999999998</v>
      </c>
    </row>
    <row r="568" spans="1:7" x14ac:dyDescent="0.25">
      <c r="A568" t="s">
        <v>25</v>
      </c>
      <c r="B568" s="3" t="s">
        <v>7</v>
      </c>
      <c r="C568" t="s">
        <v>29</v>
      </c>
      <c r="D568">
        <v>1</v>
      </c>
      <c r="E568" s="3" t="s">
        <v>11</v>
      </c>
      <c r="F568" s="3" t="s">
        <v>13</v>
      </c>
      <c r="G568">
        <v>6373.56</v>
      </c>
    </row>
    <row r="569" spans="1:7" x14ac:dyDescent="0.25">
      <c r="A569" t="s">
        <v>32</v>
      </c>
      <c r="B569" s="3" t="s">
        <v>10</v>
      </c>
      <c r="C569" t="s">
        <v>20</v>
      </c>
      <c r="D569">
        <v>2</v>
      </c>
      <c r="E569" s="3" t="s">
        <v>11</v>
      </c>
      <c r="F569" s="3" t="s">
        <v>13</v>
      </c>
      <c r="G569">
        <v>7256.72</v>
      </c>
    </row>
    <row r="570" spans="1:7" x14ac:dyDescent="0.25">
      <c r="A570" t="s">
        <v>24</v>
      </c>
      <c r="B570" s="3" t="s">
        <v>7</v>
      </c>
      <c r="C570" t="s">
        <v>20</v>
      </c>
      <c r="D570">
        <v>5</v>
      </c>
      <c r="E570" s="3" t="s">
        <v>11</v>
      </c>
      <c r="F570" s="3" t="s">
        <v>9</v>
      </c>
      <c r="G570">
        <v>11552.9</v>
      </c>
    </row>
    <row r="571" spans="1:7" x14ac:dyDescent="0.25">
      <c r="A571" t="s">
        <v>24</v>
      </c>
      <c r="B571" s="3" t="s">
        <v>10</v>
      </c>
      <c r="C571" t="s">
        <v>29</v>
      </c>
      <c r="D571">
        <v>2</v>
      </c>
      <c r="E571" s="3" t="s">
        <v>8</v>
      </c>
      <c r="F571" s="3" t="s">
        <v>13</v>
      </c>
      <c r="G571">
        <v>45702.02</v>
      </c>
    </row>
    <row r="572" spans="1:7" x14ac:dyDescent="0.25">
      <c r="A572" t="s">
        <v>22</v>
      </c>
      <c r="B572" s="3" t="s">
        <v>7</v>
      </c>
      <c r="C572" t="s">
        <v>18</v>
      </c>
      <c r="D572">
        <v>0</v>
      </c>
      <c r="E572" s="3" t="s">
        <v>11</v>
      </c>
      <c r="F572" s="3" t="s">
        <v>9</v>
      </c>
      <c r="G572">
        <v>3761.29</v>
      </c>
    </row>
    <row r="573" spans="1:7" x14ac:dyDescent="0.25">
      <c r="A573" t="s">
        <v>19</v>
      </c>
      <c r="B573" s="3" t="s">
        <v>7</v>
      </c>
      <c r="C573" t="s">
        <v>28</v>
      </c>
      <c r="D573">
        <v>1</v>
      </c>
      <c r="E573" s="3" t="s">
        <v>11</v>
      </c>
      <c r="F573" s="3" t="s">
        <v>12</v>
      </c>
      <c r="G573">
        <v>2219.4499999999998</v>
      </c>
    </row>
    <row r="574" spans="1:7" x14ac:dyDescent="0.25">
      <c r="A574" t="s">
        <v>21</v>
      </c>
      <c r="B574" s="3" t="s">
        <v>7</v>
      </c>
      <c r="C574" t="s">
        <v>29</v>
      </c>
      <c r="D574">
        <v>2</v>
      </c>
      <c r="E574" s="3" t="s">
        <v>11</v>
      </c>
      <c r="F574" s="3" t="s">
        <v>12</v>
      </c>
      <c r="G574">
        <v>4753.6400000000003</v>
      </c>
    </row>
    <row r="575" spans="1:7" x14ac:dyDescent="0.25">
      <c r="A575" t="s">
        <v>27</v>
      </c>
      <c r="B575" s="3" t="s">
        <v>7</v>
      </c>
      <c r="C575" t="s">
        <v>28</v>
      </c>
      <c r="D575">
        <v>1</v>
      </c>
      <c r="E575" s="3" t="s">
        <v>11</v>
      </c>
      <c r="F575" s="3" t="s">
        <v>14</v>
      </c>
      <c r="G575">
        <v>31620</v>
      </c>
    </row>
    <row r="576" spans="1:7" x14ac:dyDescent="0.25">
      <c r="A576" t="s">
        <v>26</v>
      </c>
      <c r="B576" s="3" t="s">
        <v>7</v>
      </c>
      <c r="C576" t="s">
        <v>20</v>
      </c>
      <c r="D576">
        <v>2</v>
      </c>
      <c r="E576" s="3" t="s">
        <v>11</v>
      </c>
      <c r="F576" s="3" t="s">
        <v>14</v>
      </c>
      <c r="G576">
        <v>13224.06</v>
      </c>
    </row>
    <row r="577" spans="1:7" x14ac:dyDescent="0.25">
      <c r="A577" t="s">
        <v>26</v>
      </c>
      <c r="B577" s="3" t="s">
        <v>7</v>
      </c>
      <c r="C577" t="s">
        <v>18</v>
      </c>
      <c r="D577">
        <v>0</v>
      </c>
      <c r="E577" s="3" t="s">
        <v>11</v>
      </c>
      <c r="F577" s="3" t="s">
        <v>13</v>
      </c>
      <c r="G577">
        <v>12222.9</v>
      </c>
    </row>
    <row r="578" spans="1:7" x14ac:dyDescent="0.25">
      <c r="A578" t="s">
        <v>17</v>
      </c>
      <c r="B578" s="3" t="s">
        <v>10</v>
      </c>
      <c r="C578" t="s">
        <v>18</v>
      </c>
      <c r="D578">
        <v>0</v>
      </c>
      <c r="E578" s="3" t="s">
        <v>11</v>
      </c>
      <c r="F578" s="3" t="s">
        <v>12</v>
      </c>
      <c r="G578">
        <v>1665</v>
      </c>
    </row>
    <row r="579" spans="1:7" x14ac:dyDescent="0.25">
      <c r="A579" t="s">
        <v>22</v>
      </c>
      <c r="B579" s="3" t="s">
        <v>7</v>
      </c>
      <c r="C579" t="s">
        <v>28</v>
      </c>
      <c r="D579">
        <v>1</v>
      </c>
      <c r="E579" s="3" t="s">
        <v>8</v>
      </c>
      <c r="F579" s="3" t="s">
        <v>14</v>
      </c>
      <c r="G579">
        <v>58571.07</v>
      </c>
    </row>
    <row r="580" spans="1:7" x14ac:dyDescent="0.25">
      <c r="A580" t="s">
        <v>30</v>
      </c>
      <c r="B580" s="3" t="s">
        <v>10</v>
      </c>
      <c r="C580" t="s">
        <v>20</v>
      </c>
      <c r="D580">
        <v>1</v>
      </c>
      <c r="E580" s="3" t="s">
        <v>11</v>
      </c>
      <c r="F580" s="3" t="s">
        <v>9</v>
      </c>
      <c r="G580">
        <v>9724.5300000000007</v>
      </c>
    </row>
    <row r="581" spans="1:7" x14ac:dyDescent="0.25">
      <c r="A581" t="s">
        <v>17</v>
      </c>
      <c r="B581" s="3" t="s">
        <v>7</v>
      </c>
      <c r="C581" t="s">
        <v>23</v>
      </c>
      <c r="D581">
        <v>0</v>
      </c>
      <c r="E581" s="3" t="s">
        <v>11</v>
      </c>
      <c r="F581" s="3" t="s">
        <v>14</v>
      </c>
      <c r="G581">
        <v>3206.49</v>
      </c>
    </row>
    <row r="582" spans="1:7" x14ac:dyDescent="0.25">
      <c r="A582" t="s">
        <v>26</v>
      </c>
      <c r="B582" s="3" t="s">
        <v>10</v>
      </c>
      <c r="C582" t="s">
        <v>18</v>
      </c>
      <c r="D582">
        <v>1</v>
      </c>
      <c r="E582" s="3" t="s">
        <v>11</v>
      </c>
      <c r="F582" s="3" t="s">
        <v>14</v>
      </c>
      <c r="G582">
        <v>12913.99</v>
      </c>
    </row>
    <row r="583" spans="1:7" x14ac:dyDescent="0.25">
      <c r="A583" t="s">
        <v>17</v>
      </c>
      <c r="B583" s="3" t="s">
        <v>10</v>
      </c>
      <c r="C583" t="s">
        <v>20</v>
      </c>
      <c r="D583">
        <v>0</v>
      </c>
      <c r="E583" s="3" t="s">
        <v>11</v>
      </c>
      <c r="F583" s="3" t="s">
        <v>13</v>
      </c>
      <c r="G583">
        <v>1639.56</v>
      </c>
    </row>
    <row r="584" spans="1:7" x14ac:dyDescent="0.25">
      <c r="A584" t="s">
        <v>25</v>
      </c>
      <c r="B584" s="3" t="s">
        <v>10</v>
      </c>
      <c r="C584" t="s">
        <v>29</v>
      </c>
      <c r="D584">
        <v>2</v>
      </c>
      <c r="E584" s="3" t="s">
        <v>11</v>
      </c>
      <c r="F584" s="3" t="s">
        <v>12</v>
      </c>
      <c r="G584">
        <v>6356.27</v>
      </c>
    </row>
    <row r="585" spans="1:7" x14ac:dyDescent="0.25">
      <c r="A585" t="s">
        <v>22</v>
      </c>
      <c r="B585" s="3" t="s">
        <v>7</v>
      </c>
      <c r="C585" t="s">
        <v>23</v>
      </c>
      <c r="D585">
        <v>1</v>
      </c>
      <c r="E585" s="3" t="s">
        <v>11</v>
      </c>
      <c r="F585" s="3" t="s">
        <v>12</v>
      </c>
      <c r="G585">
        <v>17626.240000000002</v>
      </c>
    </row>
    <row r="586" spans="1:7" x14ac:dyDescent="0.25">
      <c r="A586" t="s">
        <v>17</v>
      </c>
      <c r="B586" s="3" t="s">
        <v>10</v>
      </c>
      <c r="C586" t="s">
        <v>23</v>
      </c>
      <c r="D586">
        <v>0</v>
      </c>
      <c r="E586" s="3" t="s">
        <v>11</v>
      </c>
      <c r="F586" s="3" t="s">
        <v>9</v>
      </c>
      <c r="G586">
        <v>1242.82</v>
      </c>
    </row>
    <row r="587" spans="1:7" x14ac:dyDescent="0.25">
      <c r="A587" t="s">
        <v>22</v>
      </c>
      <c r="B587" s="3" t="s">
        <v>7</v>
      </c>
      <c r="C587" t="s">
        <v>18</v>
      </c>
      <c r="D587">
        <v>1</v>
      </c>
      <c r="E587" s="3" t="s">
        <v>11</v>
      </c>
      <c r="F587" s="3" t="s">
        <v>12</v>
      </c>
      <c r="G587">
        <v>4779.6000000000004</v>
      </c>
    </row>
    <row r="588" spans="1:7" x14ac:dyDescent="0.25">
      <c r="A588" t="s">
        <v>17</v>
      </c>
      <c r="B588" s="3" t="s">
        <v>10</v>
      </c>
      <c r="C588" t="s">
        <v>23</v>
      </c>
      <c r="D588">
        <v>3</v>
      </c>
      <c r="E588" s="3" t="s">
        <v>11</v>
      </c>
      <c r="F588" s="3" t="s">
        <v>14</v>
      </c>
      <c r="G588">
        <v>3861.21</v>
      </c>
    </row>
    <row r="589" spans="1:7" x14ac:dyDescent="0.25">
      <c r="A589" t="s">
        <v>22</v>
      </c>
      <c r="B589" s="3" t="s">
        <v>7</v>
      </c>
      <c r="C589" t="s">
        <v>20</v>
      </c>
      <c r="D589">
        <v>1</v>
      </c>
      <c r="E589" s="3" t="s">
        <v>8</v>
      </c>
      <c r="F589" s="3" t="s">
        <v>13</v>
      </c>
      <c r="G589">
        <v>43943.88</v>
      </c>
    </row>
    <row r="590" spans="1:7" x14ac:dyDescent="0.25">
      <c r="A590" t="s">
        <v>27</v>
      </c>
      <c r="B590" s="3" t="s">
        <v>7</v>
      </c>
      <c r="C590" t="s">
        <v>28</v>
      </c>
      <c r="D590">
        <v>0</v>
      </c>
      <c r="E590" s="3" t="s">
        <v>11</v>
      </c>
      <c r="F590" s="3" t="s">
        <v>14</v>
      </c>
      <c r="G590">
        <v>13635.64</v>
      </c>
    </row>
    <row r="591" spans="1:7" x14ac:dyDescent="0.25">
      <c r="A591" t="s">
        <v>25</v>
      </c>
      <c r="B591" s="3" t="s">
        <v>7</v>
      </c>
      <c r="C591" t="s">
        <v>20</v>
      </c>
      <c r="D591">
        <v>1</v>
      </c>
      <c r="E591" s="3" t="s">
        <v>11</v>
      </c>
      <c r="F591" s="3" t="s">
        <v>12</v>
      </c>
      <c r="G591">
        <v>5976.83</v>
      </c>
    </row>
    <row r="592" spans="1:7" x14ac:dyDescent="0.25">
      <c r="A592" t="s">
        <v>26</v>
      </c>
      <c r="B592" s="3" t="s">
        <v>7</v>
      </c>
      <c r="C592" t="s">
        <v>18</v>
      </c>
      <c r="D592">
        <v>0</v>
      </c>
      <c r="E592" s="3" t="s">
        <v>11</v>
      </c>
      <c r="F592" s="3" t="s">
        <v>9</v>
      </c>
      <c r="G592">
        <v>11842.44</v>
      </c>
    </row>
    <row r="593" spans="1:7" x14ac:dyDescent="0.25">
      <c r="A593" t="s">
        <v>24</v>
      </c>
      <c r="B593" s="3" t="s">
        <v>10</v>
      </c>
      <c r="C593" t="s">
        <v>23</v>
      </c>
      <c r="D593">
        <v>1</v>
      </c>
      <c r="E593" s="3" t="s">
        <v>11</v>
      </c>
      <c r="F593" s="3" t="s">
        <v>13</v>
      </c>
      <c r="G593">
        <v>8428.07</v>
      </c>
    </row>
    <row r="594" spans="1:7" x14ac:dyDescent="0.25">
      <c r="A594" t="s">
        <v>17</v>
      </c>
      <c r="B594" s="3" t="s">
        <v>10</v>
      </c>
      <c r="C594" t="s">
        <v>20</v>
      </c>
      <c r="D594">
        <v>2</v>
      </c>
      <c r="E594" s="3" t="s">
        <v>11</v>
      </c>
      <c r="F594" s="3" t="s">
        <v>12</v>
      </c>
      <c r="G594">
        <v>2566.4699999999998</v>
      </c>
    </row>
    <row r="595" spans="1:7" x14ac:dyDescent="0.25">
      <c r="A595" t="s">
        <v>17</v>
      </c>
      <c r="B595" s="3" t="s">
        <v>7</v>
      </c>
      <c r="C595" t="s">
        <v>23</v>
      </c>
      <c r="D595">
        <v>1</v>
      </c>
      <c r="E595" s="3" t="s">
        <v>8</v>
      </c>
      <c r="F595" s="3" t="s">
        <v>14</v>
      </c>
      <c r="G595">
        <v>15359.1</v>
      </c>
    </row>
    <row r="596" spans="1:7" x14ac:dyDescent="0.25">
      <c r="A596" t="s">
        <v>32</v>
      </c>
      <c r="B596" s="3" t="s">
        <v>10</v>
      </c>
      <c r="C596" t="s">
        <v>29</v>
      </c>
      <c r="D596">
        <v>0</v>
      </c>
      <c r="E596" s="3" t="s">
        <v>11</v>
      </c>
      <c r="F596" s="3" t="s">
        <v>12</v>
      </c>
      <c r="G596">
        <v>5709.16</v>
      </c>
    </row>
    <row r="597" spans="1:7" x14ac:dyDescent="0.25">
      <c r="A597" t="s">
        <v>24</v>
      </c>
      <c r="B597" s="3" t="s">
        <v>7</v>
      </c>
      <c r="C597" t="s">
        <v>20</v>
      </c>
      <c r="D597">
        <v>1</v>
      </c>
      <c r="E597" s="3" t="s">
        <v>11</v>
      </c>
      <c r="F597" s="3" t="s">
        <v>14</v>
      </c>
      <c r="G597">
        <v>8823.99</v>
      </c>
    </row>
    <row r="598" spans="1:7" x14ac:dyDescent="0.25">
      <c r="A598" t="s">
        <v>32</v>
      </c>
      <c r="B598" s="3" t="s">
        <v>7</v>
      </c>
      <c r="C598" t="s">
        <v>18</v>
      </c>
      <c r="D598">
        <v>2</v>
      </c>
      <c r="E598" s="3" t="s">
        <v>11</v>
      </c>
      <c r="F598" s="3" t="s">
        <v>12</v>
      </c>
      <c r="G598">
        <v>7640.31</v>
      </c>
    </row>
    <row r="599" spans="1:7" x14ac:dyDescent="0.25">
      <c r="A599" t="s">
        <v>22</v>
      </c>
      <c r="B599" s="3" t="s">
        <v>7</v>
      </c>
      <c r="C599" t="s">
        <v>20</v>
      </c>
      <c r="D599">
        <v>1</v>
      </c>
      <c r="E599" s="3" t="s">
        <v>11</v>
      </c>
      <c r="F599" s="3" t="s">
        <v>14</v>
      </c>
      <c r="G599">
        <v>5594.85</v>
      </c>
    </row>
    <row r="600" spans="1:7" x14ac:dyDescent="0.25">
      <c r="A600" t="s">
        <v>32</v>
      </c>
      <c r="B600" s="3" t="s">
        <v>10</v>
      </c>
      <c r="C600" t="s">
        <v>20</v>
      </c>
      <c r="D600">
        <v>2</v>
      </c>
      <c r="E600" s="3" t="s">
        <v>11</v>
      </c>
      <c r="F600" s="3" t="s">
        <v>9</v>
      </c>
      <c r="G600">
        <v>7441.5</v>
      </c>
    </row>
    <row r="601" spans="1:7" x14ac:dyDescent="0.25">
      <c r="A601" t="s">
        <v>30</v>
      </c>
      <c r="B601" s="3" t="s">
        <v>7</v>
      </c>
      <c r="C601" t="s">
        <v>28</v>
      </c>
      <c r="D601">
        <v>2</v>
      </c>
      <c r="E601" s="3" t="s">
        <v>11</v>
      </c>
      <c r="F601" s="3" t="s">
        <v>13</v>
      </c>
      <c r="G601">
        <v>33471.97</v>
      </c>
    </row>
    <row r="602" spans="1:7" x14ac:dyDescent="0.25">
      <c r="A602" t="s">
        <v>19</v>
      </c>
      <c r="B602" s="3" t="s">
        <v>7</v>
      </c>
      <c r="C602" t="s">
        <v>28</v>
      </c>
      <c r="D602">
        <v>0</v>
      </c>
      <c r="E602" s="3" t="s">
        <v>11</v>
      </c>
      <c r="F602" s="3" t="s">
        <v>12</v>
      </c>
      <c r="G602">
        <v>1633.04</v>
      </c>
    </row>
    <row r="603" spans="1:7" x14ac:dyDescent="0.25">
      <c r="A603" t="s">
        <v>30</v>
      </c>
      <c r="B603" s="3" t="s">
        <v>10</v>
      </c>
      <c r="C603" t="s">
        <v>20</v>
      </c>
      <c r="D603">
        <v>0</v>
      </c>
      <c r="E603" s="3" t="s">
        <v>11</v>
      </c>
      <c r="F603" s="3" t="s">
        <v>13</v>
      </c>
      <c r="G603">
        <v>9174.14</v>
      </c>
    </row>
    <row r="604" spans="1:7" x14ac:dyDescent="0.25">
      <c r="A604" t="s">
        <v>26</v>
      </c>
      <c r="B604" s="3" t="s">
        <v>7</v>
      </c>
      <c r="C604" t="s">
        <v>18</v>
      </c>
      <c r="D604">
        <v>0</v>
      </c>
      <c r="E604" s="3" t="s">
        <v>11</v>
      </c>
      <c r="F604" s="3" t="s">
        <v>9</v>
      </c>
      <c r="G604">
        <v>11070.54</v>
      </c>
    </row>
    <row r="605" spans="1:7" x14ac:dyDescent="0.25">
      <c r="A605" t="s">
        <v>27</v>
      </c>
      <c r="B605" s="3" t="s">
        <v>7</v>
      </c>
      <c r="C605" t="s">
        <v>28</v>
      </c>
      <c r="D605">
        <v>3</v>
      </c>
      <c r="E605" s="3" t="s">
        <v>11</v>
      </c>
      <c r="F605" s="3" t="s">
        <v>12</v>
      </c>
      <c r="G605">
        <v>16085.13</v>
      </c>
    </row>
    <row r="606" spans="1:7" x14ac:dyDescent="0.25">
      <c r="A606" t="s">
        <v>17</v>
      </c>
      <c r="B606" s="3" t="s">
        <v>7</v>
      </c>
      <c r="C606" t="s">
        <v>18</v>
      </c>
      <c r="D606">
        <v>0</v>
      </c>
      <c r="E606" s="3" t="s">
        <v>8</v>
      </c>
      <c r="F606" s="3" t="s">
        <v>13</v>
      </c>
      <c r="G606">
        <v>17468.98</v>
      </c>
    </row>
    <row r="607" spans="1:7" x14ac:dyDescent="0.25">
      <c r="A607" t="s">
        <v>30</v>
      </c>
      <c r="B607" s="3" t="s">
        <v>7</v>
      </c>
      <c r="C607" t="s">
        <v>20</v>
      </c>
      <c r="D607">
        <v>0</v>
      </c>
      <c r="E607" s="3" t="s">
        <v>11</v>
      </c>
      <c r="F607" s="3" t="s">
        <v>12</v>
      </c>
      <c r="G607">
        <v>9283.56</v>
      </c>
    </row>
    <row r="608" spans="1:7" x14ac:dyDescent="0.25">
      <c r="A608" t="s">
        <v>21</v>
      </c>
      <c r="B608" s="3" t="s">
        <v>7</v>
      </c>
      <c r="C608" t="s">
        <v>18</v>
      </c>
      <c r="D608">
        <v>0</v>
      </c>
      <c r="E608" s="3" t="s">
        <v>11</v>
      </c>
      <c r="F608" s="3" t="s">
        <v>14</v>
      </c>
      <c r="G608">
        <v>3558.62</v>
      </c>
    </row>
    <row r="609" spans="1:7" x14ac:dyDescent="0.25">
      <c r="A609" t="s">
        <v>26</v>
      </c>
      <c r="B609" s="3" t="s">
        <v>7</v>
      </c>
      <c r="C609" t="s">
        <v>23</v>
      </c>
      <c r="D609">
        <v>0</v>
      </c>
      <c r="E609" s="3" t="s">
        <v>8</v>
      </c>
      <c r="F609" s="3" t="s">
        <v>13</v>
      </c>
      <c r="G609">
        <v>25678.78</v>
      </c>
    </row>
    <row r="610" spans="1:7" x14ac:dyDescent="0.25">
      <c r="A610" t="s">
        <v>21</v>
      </c>
      <c r="B610" s="3" t="s">
        <v>10</v>
      </c>
      <c r="C610" t="s">
        <v>18</v>
      </c>
      <c r="D610">
        <v>2</v>
      </c>
      <c r="E610" s="3" t="s">
        <v>11</v>
      </c>
      <c r="F610" s="3" t="s">
        <v>14</v>
      </c>
      <c r="G610">
        <v>4435.09</v>
      </c>
    </row>
    <row r="611" spans="1:7" x14ac:dyDescent="0.25">
      <c r="A611" t="s">
        <v>21</v>
      </c>
      <c r="B611" s="3" t="s">
        <v>10</v>
      </c>
      <c r="C611" t="s">
        <v>28</v>
      </c>
      <c r="D611">
        <v>2</v>
      </c>
      <c r="E611" s="3" t="s">
        <v>8</v>
      </c>
      <c r="F611" s="3" t="s">
        <v>9</v>
      </c>
      <c r="G611">
        <v>39241.440000000002</v>
      </c>
    </row>
    <row r="612" spans="1:7" x14ac:dyDescent="0.25">
      <c r="A612" t="s">
        <v>24</v>
      </c>
      <c r="B612" s="3" t="s">
        <v>7</v>
      </c>
      <c r="C612" t="s">
        <v>18</v>
      </c>
      <c r="D612">
        <v>1</v>
      </c>
      <c r="E612" s="3" t="s">
        <v>11</v>
      </c>
      <c r="F612" s="3" t="s">
        <v>12</v>
      </c>
      <c r="G612">
        <v>8547.69</v>
      </c>
    </row>
    <row r="613" spans="1:7" x14ac:dyDescent="0.25">
      <c r="A613" t="s">
        <v>25</v>
      </c>
      <c r="B613" s="3" t="s">
        <v>7</v>
      </c>
      <c r="C613" t="s">
        <v>20</v>
      </c>
      <c r="D613">
        <v>2</v>
      </c>
      <c r="E613" s="3" t="s">
        <v>11</v>
      </c>
      <c r="F613" s="3" t="s">
        <v>9</v>
      </c>
      <c r="G613">
        <v>6571.54</v>
      </c>
    </row>
    <row r="614" spans="1:7" x14ac:dyDescent="0.25">
      <c r="A614" t="s">
        <v>19</v>
      </c>
      <c r="B614" s="3" t="s">
        <v>7</v>
      </c>
      <c r="C614" t="s">
        <v>20</v>
      </c>
      <c r="D614">
        <v>0</v>
      </c>
      <c r="E614" s="3" t="s">
        <v>11</v>
      </c>
      <c r="F614" s="3" t="s">
        <v>14</v>
      </c>
      <c r="G614">
        <v>2207.6999999999998</v>
      </c>
    </row>
    <row r="615" spans="1:7" x14ac:dyDescent="0.25">
      <c r="A615" t="s">
        <v>22</v>
      </c>
      <c r="B615" s="3" t="s">
        <v>7</v>
      </c>
      <c r="C615" t="s">
        <v>23</v>
      </c>
      <c r="D615">
        <v>3</v>
      </c>
      <c r="E615" s="3" t="s">
        <v>11</v>
      </c>
      <c r="F615" s="3" t="s">
        <v>14</v>
      </c>
      <c r="G615">
        <v>6753.04</v>
      </c>
    </row>
    <row r="616" spans="1:7" x14ac:dyDescent="0.25">
      <c r="A616" t="s">
        <v>17</v>
      </c>
      <c r="B616" s="3" t="s">
        <v>7</v>
      </c>
      <c r="C616" t="s">
        <v>20</v>
      </c>
      <c r="D616">
        <v>0</v>
      </c>
      <c r="E616" s="3" t="s">
        <v>11</v>
      </c>
      <c r="F616" s="3" t="s">
        <v>12</v>
      </c>
      <c r="G616">
        <v>1880.07</v>
      </c>
    </row>
    <row r="617" spans="1:7" x14ac:dyDescent="0.25">
      <c r="A617" t="s">
        <v>24</v>
      </c>
      <c r="B617" s="3" t="s">
        <v>7</v>
      </c>
      <c r="C617" t="s">
        <v>28</v>
      </c>
      <c r="D617">
        <v>1</v>
      </c>
      <c r="E617" s="3" t="s">
        <v>8</v>
      </c>
      <c r="F617" s="3" t="s">
        <v>12</v>
      </c>
      <c r="G617">
        <v>42969.85</v>
      </c>
    </row>
    <row r="618" spans="1:7" x14ac:dyDescent="0.25">
      <c r="A618" t="s">
        <v>26</v>
      </c>
      <c r="B618" s="3" t="s">
        <v>7</v>
      </c>
      <c r="C618" t="s">
        <v>18</v>
      </c>
      <c r="D618">
        <v>0</v>
      </c>
      <c r="E618" s="3" t="s">
        <v>11</v>
      </c>
      <c r="F618" s="3" t="s">
        <v>14</v>
      </c>
      <c r="G618">
        <v>11658.12</v>
      </c>
    </row>
    <row r="619" spans="1:7" x14ac:dyDescent="0.25">
      <c r="A619" t="s">
        <v>24</v>
      </c>
      <c r="B619" s="3" t="s">
        <v>10</v>
      </c>
      <c r="C619" t="s">
        <v>18</v>
      </c>
      <c r="D619">
        <v>2</v>
      </c>
      <c r="E619" s="3" t="s">
        <v>8</v>
      </c>
      <c r="F619" s="3" t="s">
        <v>9</v>
      </c>
      <c r="G619">
        <v>23306.55</v>
      </c>
    </row>
    <row r="620" spans="1:7" x14ac:dyDescent="0.25">
      <c r="A620" t="s">
        <v>17</v>
      </c>
      <c r="B620" s="3" t="s">
        <v>7</v>
      </c>
      <c r="C620" t="s">
        <v>20</v>
      </c>
      <c r="D620">
        <v>0</v>
      </c>
      <c r="E620" s="3" t="s">
        <v>8</v>
      </c>
      <c r="F620" s="3" t="s">
        <v>12</v>
      </c>
      <c r="G620">
        <v>34439.86</v>
      </c>
    </row>
    <row r="621" spans="1:7" x14ac:dyDescent="0.25">
      <c r="A621" t="s">
        <v>30</v>
      </c>
      <c r="B621" s="3" t="s">
        <v>7</v>
      </c>
      <c r="C621" t="s">
        <v>28</v>
      </c>
      <c r="D621">
        <v>0</v>
      </c>
      <c r="E621" s="3" t="s">
        <v>11</v>
      </c>
      <c r="F621" s="3" t="s">
        <v>9</v>
      </c>
      <c r="G621">
        <v>10713.64</v>
      </c>
    </row>
    <row r="622" spans="1:7" x14ac:dyDescent="0.25">
      <c r="A622" t="s">
        <v>21</v>
      </c>
      <c r="B622" s="3" t="s">
        <v>10</v>
      </c>
      <c r="C622" t="s">
        <v>20</v>
      </c>
      <c r="D622">
        <v>1</v>
      </c>
      <c r="E622" s="3" t="s">
        <v>11</v>
      </c>
      <c r="F622" s="3" t="s">
        <v>9</v>
      </c>
      <c r="G622">
        <v>3659.35</v>
      </c>
    </row>
    <row r="623" spans="1:7" x14ac:dyDescent="0.25">
      <c r="A623" t="s">
        <v>25</v>
      </c>
      <c r="B623" s="3" t="s">
        <v>10</v>
      </c>
      <c r="C623" t="s">
        <v>20</v>
      </c>
      <c r="D623">
        <v>4</v>
      </c>
      <c r="E623" s="3" t="s">
        <v>8</v>
      </c>
      <c r="F623" s="3" t="s">
        <v>9</v>
      </c>
      <c r="G623">
        <v>40182.25</v>
      </c>
    </row>
    <row r="624" spans="1:7" x14ac:dyDescent="0.25">
      <c r="A624" t="s">
        <v>24</v>
      </c>
      <c r="B624" s="3" t="s">
        <v>7</v>
      </c>
      <c r="C624" t="s">
        <v>23</v>
      </c>
      <c r="D624">
        <v>1</v>
      </c>
      <c r="E624" s="3" t="s">
        <v>11</v>
      </c>
      <c r="F624" s="3" t="s">
        <v>9</v>
      </c>
      <c r="G624">
        <v>9182.17</v>
      </c>
    </row>
    <row r="625" spans="1:7" x14ac:dyDescent="0.25">
      <c r="A625" t="s">
        <v>19</v>
      </c>
      <c r="B625" s="3" t="s">
        <v>10</v>
      </c>
      <c r="C625" t="s">
        <v>20</v>
      </c>
      <c r="D625">
        <v>0</v>
      </c>
      <c r="E625" s="3" t="s">
        <v>8</v>
      </c>
      <c r="F625" s="3" t="s">
        <v>14</v>
      </c>
      <c r="G625">
        <v>34617.839999999997</v>
      </c>
    </row>
    <row r="626" spans="1:7" x14ac:dyDescent="0.25">
      <c r="A626" t="s">
        <v>26</v>
      </c>
      <c r="B626" s="3" t="s">
        <v>10</v>
      </c>
      <c r="C626" t="s">
        <v>18</v>
      </c>
      <c r="D626">
        <v>0</v>
      </c>
      <c r="E626" s="3" t="s">
        <v>11</v>
      </c>
      <c r="F626" s="3" t="s">
        <v>13</v>
      </c>
      <c r="G626">
        <v>12129.61</v>
      </c>
    </row>
    <row r="627" spans="1:7" x14ac:dyDescent="0.25">
      <c r="A627" t="s">
        <v>21</v>
      </c>
      <c r="B627" s="3" t="s">
        <v>7</v>
      </c>
      <c r="C627" t="s">
        <v>18</v>
      </c>
      <c r="D627">
        <v>0</v>
      </c>
      <c r="E627" s="3" t="s">
        <v>11</v>
      </c>
      <c r="F627" s="3" t="s">
        <v>13</v>
      </c>
      <c r="G627">
        <v>3736.46</v>
      </c>
    </row>
    <row r="628" spans="1:7" x14ac:dyDescent="0.25">
      <c r="A628" t="s">
        <v>25</v>
      </c>
      <c r="B628" s="3" t="s">
        <v>10</v>
      </c>
      <c r="C628" t="s">
        <v>18</v>
      </c>
      <c r="D628">
        <v>3</v>
      </c>
      <c r="E628" s="3" t="s">
        <v>11</v>
      </c>
      <c r="F628" s="3" t="s">
        <v>14</v>
      </c>
      <c r="G628">
        <v>6748.59</v>
      </c>
    </row>
    <row r="629" spans="1:7" x14ac:dyDescent="0.25">
      <c r="A629" t="s">
        <v>22</v>
      </c>
      <c r="B629" s="3" t="s">
        <v>10</v>
      </c>
      <c r="C629" t="s">
        <v>29</v>
      </c>
      <c r="D629">
        <v>1</v>
      </c>
      <c r="E629" s="3" t="s">
        <v>11</v>
      </c>
      <c r="F629" s="3" t="s">
        <v>12</v>
      </c>
      <c r="G629">
        <v>11326.71</v>
      </c>
    </row>
    <row r="630" spans="1:7" x14ac:dyDescent="0.25">
      <c r="A630" t="s">
        <v>26</v>
      </c>
      <c r="B630" s="3" t="s">
        <v>10</v>
      </c>
      <c r="C630" t="s">
        <v>28</v>
      </c>
      <c r="D630">
        <v>0</v>
      </c>
      <c r="E630" s="3" t="s">
        <v>11</v>
      </c>
      <c r="F630" s="3" t="s">
        <v>9</v>
      </c>
      <c r="G630">
        <v>11365.95</v>
      </c>
    </row>
    <row r="631" spans="1:7" x14ac:dyDescent="0.25">
      <c r="A631" t="s">
        <v>32</v>
      </c>
      <c r="B631" s="3" t="s">
        <v>7</v>
      </c>
      <c r="C631" t="s">
        <v>28</v>
      </c>
      <c r="D631">
        <v>0</v>
      </c>
      <c r="E631" s="3" t="s">
        <v>8</v>
      </c>
      <c r="F631" s="3" t="s">
        <v>13</v>
      </c>
      <c r="G631">
        <v>42983.46</v>
      </c>
    </row>
    <row r="632" spans="1:7" x14ac:dyDescent="0.25">
      <c r="A632" t="s">
        <v>30</v>
      </c>
      <c r="B632" s="3" t="s">
        <v>10</v>
      </c>
      <c r="C632" t="s">
        <v>28</v>
      </c>
      <c r="D632">
        <v>1</v>
      </c>
      <c r="E632" s="3" t="s">
        <v>11</v>
      </c>
      <c r="F632" s="3" t="s">
        <v>9</v>
      </c>
      <c r="G632">
        <v>10085.85</v>
      </c>
    </row>
    <row r="633" spans="1:7" x14ac:dyDescent="0.25">
      <c r="A633" t="s">
        <v>17</v>
      </c>
      <c r="B633" s="3" t="s">
        <v>10</v>
      </c>
      <c r="C633" t="s">
        <v>18</v>
      </c>
      <c r="D633">
        <v>0</v>
      </c>
      <c r="E633" s="3" t="s">
        <v>11</v>
      </c>
      <c r="F633" s="3" t="s">
        <v>9</v>
      </c>
      <c r="G633">
        <v>1977.82</v>
      </c>
    </row>
    <row r="634" spans="1:7" x14ac:dyDescent="0.25">
      <c r="A634" t="s">
        <v>21</v>
      </c>
      <c r="B634" s="3" t="s">
        <v>7</v>
      </c>
      <c r="C634" t="s">
        <v>28</v>
      </c>
      <c r="D634">
        <v>0</v>
      </c>
      <c r="E634" s="3" t="s">
        <v>11</v>
      </c>
      <c r="F634" s="3" t="s">
        <v>12</v>
      </c>
      <c r="G634">
        <v>3366.67</v>
      </c>
    </row>
    <row r="635" spans="1:7" x14ac:dyDescent="0.25">
      <c r="A635" t="s">
        <v>25</v>
      </c>
      <c r="B635" s="3" t="s">
        <v>10</v>
      </c>
      <c r="C635" t="s">
        <v>23</v>
      </c>
      <c r="D635">
        <v>2</v>
      </c>
      <c r="E635" s="3" t="s">
        <v>11</v>
      </c>
      <c r="F635" s="3" t="s">
        <v>14</v>
      </c>
      <c r="G635">
        <v>7173.36</v>
      </c>
    </row>
    <row r="636" spans="1:7" x14ac:dyDescent="0.25">
      <c r="A636" t="s">
        <v>30</v>
      </c>
      <c r="B636" s="3" t="s">
        <v>10</v>
      </c>
      <c r="C636" t="s">
        <v>28</v>
      </c>
      <c r="D636">
        <v>1</v>
      </c>
      <c r="E636" s="3" t="s">
        <v>11</v>
      </c>
      <c r="F636" s="3" t="s">
        <v>9</v>
      </c>
      <c r="G636">
        <v>9391.35</v>
      </c>
    </row>
    <row r="637" spans="1:7" x14ac:dyDescent="0.25">
      <c r="A637" t="s">
        <v>27</v>
      </c>
      <c r="B637" s="3" t="s">
        <v>10</v>
      </c>
      <c r="C637" t="s">
        <v>28</v>
      </c>
      <c r="D637">
        <v>0</v>
      </c>
      <c r="E637" s="3" t="s">
        <v>11</v>
      </c>
      <c r="F637" s="3" t="s">
        <v>14</v>
      </c>
      <c r="G637">
        <v>14410.93</v>
      </c>
    </row>
    <row r="638" spans="1:7" x14ac:dyDescent="0.25">
      <c r="A638" t="s">
        <v>17</v>
      </c>
      <c r="B638" s="3" t="s">
        <v>7</v>
      </c>
      <c r="C638" t="s">
        <v>23</v>
      </c>
      <c r="D638">
        <v>1</v>
      </c>
      <c r="E638" s="3" t="s">
        <v>11</v>
      </c>
      <c r="F638" s="3" t="s">
        <v>13</v>
      </c>
      <c r="G638">
        <v>2709.11</v>
      </c>
    </row>
    <row r="639" spans="1:7" x14ac:dyDescent="0.25">
      <c r="A639" t="s">
        <v>22</v>
      </c>
      <c r="B639" s="3" t="s">
        <v>7</v>
      </c>
      <c r="C639" t="s">
        <v>28</v>
      </c>
      <c r="D639">
        <v>2</v>
      </c>
      <c r="E639" s="3" t="s">
        <v>11</v>
      </c>
      <c r="F639" s="3" t="s">
        <v>14</v>
      </c>
      <c r="G639">
        <v>24915.05</v>
      </c>
    </row>
    <row r="640" spans="1:7" x14ac:dyDescent="0.25">
      <c r="A640" t="s">
        <v>25</v>
      </c>
      <c r="B640" s="3" t="s">
        <v>10</v>
      </c>
      <c r="C640" t="s">
        <v>18</v>
      </c>
      <c r="D640">
        <v>0</v>
      </c>
      <c r="E640" s="3" t="s">
        <v>8</v>
      </c>
      <c r="F640" s="3" t="s">
        <v>14</v>
      </c>
      <c r="G640">
        <v>20149.32</v>
      </c>
    </row>
    <row r="641" spans="1:7" x14ac:dyDescent="0.25">
      <c r="A641" t="s">
        <v>26</v>
      </c>
      <c r="B641" s="3" t="s">
        <v>10</v>
      </c>
      <c r="C641" t="s">
        <v>20</v>
      </c>
      <c r="D641">
        <v>4</v>
      </c>
      <c r="E641" s="3" t="s">
        <v>11</v>
      </c>
      <c r="F641" s="3" t="s">
        <v>12</v>
      </c>
      <c r="G641">
        <v>12949.16</v>
      </c>
    </row>
    <row r="642" spans="1:7" x14ac:dyDescent="0.25">
      <c r="A642" t="s">
        <v>22</v>
      </c>
      <c r="B642" s="3" t="s">
        <v>10</v>
      </c>
      <c r="C642" t="s">
        <v>29</v>
      </c>
      <c r="D642">
        <v>5</v>
      </c>
      <c r="E642" s="3" t="s">
        <v>11</v>
      </c>
      <c r="F642" s="3" t="s">
        <v>9</v>
      </c>
      <c r="G642">
        <v>6666.24</v>
      </c>
    </row>
    <row r="643" spans="1:7" x14ac:dyDescent="0.25">
      <c r="A643" t="s">
        <v>32</v>
      </c>
      <c r="B643" s="3" t="s">
        <v>10</v>
      </c>
      <c r="C643" t="s">
        <v>18</v>
      </c>
      <c r="D643">
        <v>3</v>
      </c>
      <c r="E643" s="3" t="s">
        <v>8</v>
      </c>
      <c r="F643" s="3" t="s">
        <v>13</v>
      </c>
      <c r="G643">
        <v>32787.46</v>
      </c>
    </row>
    <row r="644" spans="1:7" x14ac:dyDescent="0.25">
      <c r="A644" t="s">
        <v>27</v>
      </c>
      <c r="B644" s="3" t="s">
        <v>10</v>
      </c>
      <c r="C644" t="s">
        <v>20</v>
      </c>
      <c r="D644">
        <v>0</v>
      </c>
      <c r="E644" s="3" t="s">
        <v>11</v>
      </c>
      <c r="F644" s="3" t="s">
        <v>14</v>
      </c>
      <c r="G644">
        <v>13143.86</v>
      </c>
    </row>
    <row r="645" spans="1:7" x14ac:dyDescent="0.25">
      <c r="A645" t="s">
        <v>17</v>
      </c>
      <c r="B645" s="3" t="s">
        <v>7</v>
      </c>
      <c r="C645" t="s">
        <v>28</v>
      </c>
      <c r="D645">
        <v>3</v>
      </c>
      <c r="E645" s="3" t="s">
        <v>11</v>
      </c>
      <c r="F645" s="3" t="s">
        <v>13</v>
      </c>
      <c r="G645">
        <v>4466.62</v>
      </c>
    </row>
    <row r="646" spans="1:7" x14ac:dyDescent="0.25">
      <c r="A646" t="s">
        <v>32</v>
      </c>
      <c r="B646" s="3" t="s">
        <v>10</v>
      </c>
      <c r="C646" t="s">
        <v>28</v>
      </c>
      <c r="D646">
        <v>2</v>
      </c>
      <c r="E646" s="3" t="s">
        <v>11</v>
      </c>
      <c r="F646" s="3" t="s">
        <v>12</v>
      </c>
      <c r="G646">
        <v>18806.150000000001</v>
      </c>
    </row>
    <row r="647" spans="1:7" x14ac:dyDescent="0.25">
      <c r="A647" t="s">
        <v>24</v>
      </c>
      <c r="B647" s="3" t="s">
        <v>10</v>
      </c>
      <c r="C647" t="s">
        <v>20</v>
      </c>
      <c r="D647">
        <v>3</v>
      </c>
      <c r="E647" s="3" t="s">
        <v>11</v>
      </c>
      <c r="F647" s="3" t="s">
        <v>14</v>
      </c>
      <c r="G647">
        <v>10141.14</v>
      </c>
    </row>
    <row r="648" spans="1:7" x14ac:dyDescent="0.25">
      <c r="A648" t="s">
        <v>25</v>
      </c>
      <c r="B648" s="3" t="s">
        <v>10</v>
      </c>
      <c r="C648" t="s">
        <v>18</v>
      </c>
      <c r="D648">
        <v>1</v>
      </c>
      <c r="E648" s="3" t="s">
        <v>11</v>
      </c>
      <c r="F648" s="3" t="s">
        <v>13</v>
      </c>
      <c r="G648">
        <v>6123.57</v>
      </c>
    </row>
    <row r="649" spans="1:7" x14ac:dyDescent="0.25">
      <c r="A649" t="s">
        <v>25</v>
      </c>
      <c r="B649" s="3" t="s">
        <v>7</v>
      </c>
      <c r="C649" t="s">
        <v>23</v>
      </c>
      <c r="D649">
        <v>3</v>
      </c>
      <c r="E649" s="3" t="s">
        <v>11</v>
      </c>
      <c r="F649" s="3" t="s">
        <v>14</v>
      </c>
      <c r="G649">
        <v>8252.2800000000007</v>
      </c>
    </row>
    <row r="650" spans="1:7" x14ac:dyDescent="0.25">
      <c r="A650" t="s">
        <v>19</v>
      </c>
      <c r="B650" s="3" t="s">
        <v>10</v>
      </c>
      <c r="C650" t="s">
        <v>18</v>
      </c>
      <c r="D650">
        <v>0</v>
      </c>
      <c r="E650" s="3" t="s">
        <v>11</v>
      </c>
      <c r="F650" s="3" t="s">
        <v>14</v>
      </c>
      <c r="G650">
        <v>1712.23</v>
      </c>
    </row>
    <row r="651" spans="1:7" x14ac:dyDescent="0.25">
      <c r="A651" t="s">
        <v>26</v>
      </c>
      <c r="B651" s="3" t="s">
        <v>7</v>
      </c>
      <c r="C651" t="s">
        <v>20</v>
      </c>
      <c r="D651">
        <v>0</v>
      </c>
      <c r="E651" s="3" t="s">
        <v>11</v>
      </c>
      <c r="F651" s="3" t="s">
        <v>14</v>
      </c>
      <c r="G651">
        <v>12430.95</v>
      </c>
    </row>
    <row r="652" spans="1:7" x14ac:dyDescent="0.25">
      <c r="A652" t="s">
        <v>24</v>
      </c>
      <c r="B652" s="3" t="s">
        <v>7</v>
      </c>
      <c r="C652" t="s">
        <v>29</v>
      </c>
      <c r="D652">
        <v>2</v>
      </c>
      <c r="E652" s="3" t="s">
        <v>11</v>
      </c>
      <c r="F652" s="3" t="s">
        <v>12</v>
      </c>
      <c r="G652">
        <v>9800.89</v>
      </c>
    </row>
    <row r="653" spans="1:7" x14ac:dyDescent="0.25">
      <c r="A653" t="s">
        <v>30</v>
      </c>
      <c r="B653" s="3" t="s">
        <v>7</v>
      </c>
      <c r="C653" t="s">
        <v>28</v>
      </c>
      <c r="D653">
        <v>1</v>
      </c>
      <c r="E653" s="3" t="s">
        <v>11</v>
      </c>
      <c r="F653" s="3" t="s">
        <v>12</v>
      </c>
      <c r="G653">
        <v>10579.71</v>
      </c>
    </row>
    <row r="654" spans="1:7" x14ac:dyDescent="0.25">
      <c r="A654" t="s">
        <v>24</v>
      </c>
      <c r="B654" s="3" t="s">
        <v>7</v>
      </c>
      <c r="C654" t="s">
        <v>20</v>
      </c>
      <c r="D654">
        <v>0</v>
      </c>
      <c r="E654" s="3" t="s">
        <v>11</v>
      </c>
      <c r="F654" s="3" t="s">
        <v>12</v>
      </c>
      <c r="G654">
        <v>8280.6200000000008</v>
      </c>
    </row>
    <row r="655" spans="1:7" x14ac:dyDescent="0.25">
      <c r="A655" t="s">
        <v>32</v>
      </c>
      <c r="B655" s="3" t="s">
        <v>7</v>
      </c>
      <c r="C655" t="s">
        <v>28</v>
      </c>
      <c r="D655">
        <v>2</v>
      </c>
      <c r="E655" s="3" t="s">
        <v>11</v>
      </c>
      <c r="F655" s="3" t="s">
        <v>12</v>
      </c>
      <c r="G655">
        <v>8527.5300000000007</v>
      </c>
    </row>
    <row r="656" spans="1:7" x14ac:dyDescent="0.25">
      <c r="A656" t="s">
        <v>26</v>
      </c>
      <c r="B656" s="3" t="s">
        <v>7</v>
      </c>
      <c r="C656" t="s">
        <v>28</v>
      </c>
      <c r="D656">
        <v>0</v>
      </c>
      <c r="E656" s="3" t="s">
        <v>11</v>
      </c>
      <c r="F656" s="3" t="s">
        <v>12</v>
      </c>
      <c r="G656">
        <v>12244.53</v>
      </c>
    </row>
    <row r="657" spans="1:7" x14ac:dyDescent="0.25">
      <c r="A657" t="s">
        <v>30</v>
      </c>
      <c r="B657" s="3" t="s">
        <v>7</v>
      </c>
      <c r="C657" t="s">
        <v>18</v>
      </c>
      <c r="D657">
        <v>2</v>
      </c>
      <c r="E657" s="3" t="s">
        <v>8</v>
      </c>
      <c r="F657" s="3" t="s">
        <v>12</v>
      </c>
      <c r="G657">
        <v>24667.42</v>
      </c>
    </row>
    <row r="658" spans="1:7" x14ac:dyDescent="0.25">
      <c r="A658" t="s">
        <v>21</v>
      </c>
      <c r="B658" s="3" t="s">
        <v>7</v>
      </c>
      <c r="C658" t="s">
        <v>29</v>
      </c>
      <c r="D658">
        <v>1</v>
      </c>
      <c r="E658" s="3" t="s">
        <v>11</v>
      </c>
      <c r="F658" s="3" t="s">
        <v>9</v>
      </c>
      <c r="G658">
        <v>3410.32</v>
      </c>
    </row>
    <row r="659" spans="1:7" x14ac:dyDescent="0.25">
      <c r="A659" t="s">
        <v>21</v>
      </c>
      <c r="B659" s="3" t="s">
        <v>10</v>
      </c>
      <c r="C659" t="s">
        <v>20</v>
      </c>
      <c r="D659">
        <v>2</v>
      </c>
      <c r="E659" s="3" t="s">
        <v>11</v>
      </c>
      <c r="F659" s="3" t="s">
        <v>13</v>
      </c>
      <c r="G659">
        <v>4058.71</v>
      </c>
    </row>
    <row r="660" spans="1:7" x14ac:dyDescent="0.25">
      <c r="A660" t="s">
        <v>24</v>
      </c>
      <c r="B660" s="3" t="s">
        <v>7</v>
      </c>
      <c r="C660" t="s">
        <v>28</v>
      </c>
      <c r="D660">
        <v>1</v>
      </c>
      <c r="E660" s="3" t="s">
        <v>11</v>
      </c>
      <c r="F660" s="3" t="s">
        <v>14</v>
      </c>
      <c r="G660">
        <v>26392.26</v>
      </c>
    </row>
    <row r="661" spans="1:7" x14ac:dyDescent="0.25">
      <c r="A661" t="s">
        <v>26</v>
      </c>
      <c r="B661" s="3" t="s">
        <v>7</v>
      </c>
      <c r="C661" t="s">
        <v>18</v>
      </c>
      <c r="D661">
        <v>4</v>
      </c>
      <c r="E661" s="3" t="s">
        <v>11</v>
      </c>
      <c r="F661" s="3" t="s">
        <v>14</v>
      </c>
      <c r="G661">
        <v>14394.4</v>
      </c>
    </row>
    <row r="662" spans="1:7" x14ac:dyDescent="0.25">
      <c r="A662" t="s">
        <v>25</v>
      </c>
      <c r="B662" s="3" t="s">
        <v>10</v>
      </c>
      <c r="C662" t="s">
        <v>29</v>
      </c>
      <c r="D662">
        <v>3</v>
      </c>
      <c r="E662" s="3" t="s">
        <v>11</v>
      </c>
      <c r="F662" s="3" t="s">
        <v>12</v>
      </c>
      <c r="G662">
        <v>6435.62</v>
      </c>
    </row>
    <row r="663" spans="1:7" x14ac:dyDescent="0.25">
      <c r="A663" t="s">
        <v>26</v>
      </c>
      <c r="B663" s="3" t="s">
        <v>7</v>
      </c>
      <c r="C663" t="s">
        <v>23</v>
      </c>
      <c r="D663">
        <v>1</v>
      </c>
      <c r="E663" s="3" t="s">
        <v>11</v>
      </c>
      <c r="F663" s="3" t="s">
        <v>12</v>
      </c>
      <c r="G663">
        <v>22192.44</v>
      </c>
    </row>
    <row r="664" spans="1:7" x14ac:dyDescent="0.25">
      <c r="A664" t="s">
        <v>22</v>
      </c>
      <c r="B664" s="3" t="s">
        <v>7</v>
      </c>
      <c r="C664" t="s">
        <v>20</v>
      </c>
      <c r="D664">
        <v>1</v>
      </c>
      <c r="E664" s="3" t="s">
        <v>11</v>
      </c>
      <c r="F664" s="3" t="s">
        <v>14</v>
      </c>
      <c r="G664">
        <v>5148.55</v>
      </c>
    </row>
    <row r="665" spans="1:7" x14ac:dyDescent="0.25">
      <c r="A665" t="s">
        <v>19</v>
      </c>
      <c r="B665" s="3" t="s">
        <v>10</v>
      </c>
      <c r="C665" t="s">
        <v>20</v>
      </c>
      <c r="D665">
        <v>0</v>
      </c>
      <c r="E665" s="3" t="s">
        <v>11</v>
      </c>
      <c r="F665" s="3" t="s">
        <v>12</v>
      </c>
      <c r="G665">
        <v>1136.4000000000001</v>
      </c>
    </row>
    <row r="666" spans="1:7" x14ac:dyDescent="0.25">
      <c r="A666" t="s">
        <v>27</v>
      </c>
      <c r="B666" s="3" t="s">
        <v>7</v>
      </c>
      <c r="C666" t="s">
        <v>23</v>
      </c>
      <c r="D666">
        <v>0</v>
      </c>
      <c r="E666" s="3" t="s">
        <v>8</v>
      </c>
      <c r="F666" s="3" t="s">
        <v>12</v>
      </c>
      <c r="G666">
        <v>27037.91</v>
      </c>
    </row>
    <row r="667" spans="1:7" x14ac:dyDescent="0.25">
      <c r="A667" t="s">
        <v>32</v>
      </c>
      <c r="B667" s="3" t="s">
        <v>10</v>
      </c>
      <c r="C667" t="s">
        <v>28</v>
      </c>
      <c r="D667">
        <v>2</v>
      </c>
      <c r="E667" s="3" t="s">
        <v>8</v>
      </c>
      <c r="F667" s="3" t="s">
        <v>12</v>
      </c>
      <c r="G667">
        <v>42560.43</v>
      </c>
    </row>
    <row r="668" spans="1:7" x14ac:dyDescent="0.25">
      <c r="A668" t="s">
        <v>24</v>
      </c>
      <c r="B668" s="3" t="s">
        <v>10</v>
      </c>
      <c r="C668" t="s">
        <v>18</v>
      </c>
      <c r="D668">
        <v>1</v>
      </c>
      <c r="E668" s="3" t="s">
        <v>11</v>
      </c>
      <c r="F668" s="3" t="s">
        <v>9</v>
      </c>
      <c r="G668">
        <v>8703.4599999999991</v>
      </c>
    </row>
    <row r="669" spans="1:7" x14ac:dyDescent="0.25">
      <c r="A669" t="s">
        <v>25</v>
      </c>
      <c r="B669" s="3" t="s">
        <v>7</v>
      </c>
      <c r="C669" t="s">
        <v>20</v>
      </c>
      <c r="D669">
        <v>2</v>
      </c>
      <c r="E669" s="3" t="s">
        <v>8</v>
      </c>
      <c r="F669" s="3" t="s">
        <v>13</v>
      </c>
      <c r="G669">
        <v>40003.33</v>
      </c>
    </row>
    <row r="670" spans="1:7" x14ac:dyDescent="0.25">
      <c r="A670" t="s">
        <v>27</v>
      </c>
      <c r="B670" s="3" t="s">
        <v>10</v>
      </c>
      <c r="C670" t="s">
        <v>20</v>
      </c>
      <c r="D670">
        <v>0</v>
      </c>
      <c r="E670" s="3" t="s">
        <v>8</v>
      </c>
      <c r="F670" s="3" t="s">
        <v>14</v>
      </c>
      <c r="G670">
        <v>45710.21</v>
      </c>
    </row>
    <row r="671" spans="1:7" x14ac:dyDescent="0.25">
      <c r="A671" t="s">
        <v>25</v>
      </c>
      <c r="B671" s="3" t="s">
        <v>7</v>
      </c>
      <c r="C671" t="s">
        <v>18</v>
      </c>
      <c r="D671">
        <v>1</v>
      </c>
      <c r="E671" s="3" t="s">
        <v>11</v>
      </c>
      <c r="F671" s="3" t="s">
        <v>12</v>
      </c>
      <c r="G671">
        <v>6500.24</v>
      </c>
    </row>
    <row r="672" spans="1:7" x14ac:dyDescent="0.25">
      <c r="A672" t="s">
        <v>21</v>
      </c>
      <c r="B672" s="3" t="s">
        <v>10</v>
      </c>
      <c r="C672" t="s">
        <v>20</v>
      </c>
      <c r="D672">
        <v>3</v>
      </c>
      <c r="E672" s="3" t="s">
        <v>11</v>
      </c>
      <c r="F672" s="3" t="s">
        <v>12</v>
      </c>
      <c r="G672">
        <v>4837.58</v>
      </c>
    </row>
    <row r="673" spans="1:7" x14ac:dyDescent="0.25">
      <c r="A673" t="s">
        <v>21</v>
      </c>
      <c r="B673" s="3" t="s">
        <v>7</v>
      </c>
      <c r="C673" t="s">
        <v>20</v>
      </c>
      <c r="D673">
        <v>0</v>
      </c>
      <c r="E673" s="3" t="s">
        <v>11</v>
      </c>
      <c r="F673" s="3" t="s">
        <v>14</v>
      </c>
      <c r="G673">
        <v>3943.6</v>
      </c>
    </row>
    <row r="674" spans="1:7" x14ac:dyDescent="0.25">
      <c r="A674" t="s">
        <v>25</v>
      </c>
      <c r="B674" s="3" t="s">
        <v>10</v>
      </c>
      <c r="C674" t="s">
        <v>18</v>
      </c>
      <c r="D674">
        <v>0</v>
      </c>
      <c r="E674" s="3" t="s">
        <v>11</v>
      </c>
      <c r="F674" s="3" t="s">
        <v>12</v>
      </c>
      <c r="G674">
        <v>4399.7299999999996</v>
      </c>
    </row>
    <row r="675" spans="1:7" x14ac:dyDescent="0.25">
      <c r="A675" t="s">
        <v>32</v>
      </c>
      <c r="B675" s="3" t="s">
        <v>7</v>
      </c>
      <c r="C675" t="s">
        <v>20</v>
      </c>
      <c r="D675">
        <v>0</v>
      </c>
      <c r="E675" s="3" t="s">
        <v>11</v>
      </c>
      <c r="F675" s="3" t="s">
        <v>12</v>
      </c>
      <c r="G675">
        <v>6185.32</v>
      </c>
    </row>
    <row r="676" spans="1:7" x14ac:dyDescent="0.25">
      <c r="A676" t="s">
        <v>32</v>
      </c>
      <c r="B676" s="3" t="s">
        <v>7</v>
      </c>
      <c r="C676" t="s">
        <v>29</v>
      </c>
      <c r="D676">
        <v>2</v>
      </c>
      <c r="E676" s="3" t="s">
        <v>8</v>
      </c>
      <c r="F676" s="3" t="s">
        <v>12</v>
      </c>
      <c r="G676">
        <v>46200.99</v>
      </c>
    </row>
    <row r="677" spans="1:7" x14ac:dyDescent="0.25">
      <c r="A677" t="s">
        <v>32</v>
      </c>
      <c r="B677" s="3" t="s">
        <v>10</v>
      </c>
      <c r="C677" t="s">
        <v>23</v>
      </c>
      <c r="D677">
        <v>0</v>
      </c>
      <c r="E677" s="3" t="s">
        <v>11</v>
      </c>
      <c r="F677" s="3" t="s">
        <v>13</v>
      </c>
      <c r="G677">
        <v>7222.79</v>
      </c>
    </row>
    <row r="678" spans="1:7" x14ac:dyDescent="0.25">
      <c r="A678" t="s">
        <v>30</v>
      </c>
      <c r="B678" s="3" t="s">
        <v>7</v>
      </c>
      <c r="C678" t="s">
        <v>29</v>
      </c>
      <c r="D678">
        <v>3</v>
      </c>
      <c r="E678" s="3" t="s">
        <v>11</v>
      </c>
      <c r="F678" s="3" t="s">
        <v>12</v>
      </c>
      <c r="G678">
        <v>12485.8</v>
      </c>
    </row>
    <row r="679" spans="1:7" x14ac:dyDescent="0.25">
      <c r="A679" t="s">
        <v>26</v>
      </c>
      <c r="B679" s="3" t="s">
        <v>10</v>
      </c>
      <c r="C679" t="s">
        <v>20</v>
      </c>
      <c r="D679">
        <v>3</v>
      </c>
      <c r="E679" s="3" t="s">
        <v>8</v>
      </c>
      <c r="F679" s="3" t="s">
        <v>13</v>
      </c>
      <c r="G679">
        <v>46130.53</v>
      </c>
    </row>
    <row r="680" spans="1:7" x14ac:dyDescent="0.25">
      <c r="A680" t="s">
        <v>26</v>
      </c>
      <c r="B680" s="3" t="s">
        <v>10</v>
      </c>
      <c r="C680" t="s">
        <v>28</v>
      </c>
      <c r="D680">
        <v>3</v>
      </c>
      <c r="E680" s="3" t="s">
        <v>11</v>
      </c>
      <c r="F680" s="3" t="s">
        <v>9</v>
      </c>
      <c r="G680">
        <v>12363.55</v>
      </c>
    </row>
    <row r="681" spans="1:7" x14ac:dyDescent="0.25">
      <c r="A681" t="s">
        <v>24</v>
      </c>
      <c r="B681" s="3" t="s">
        <v>7</v>
      </c>
      <c r="C681" t="s">
        <v>23</v>
      </c>
      <c r="D681">
        <v>2</v>
      </c>
      <c r="E681" s="3" t="s">
        <v>11</v>
      </c>
      <c r="F681" s="3" t="s">
        <v>13</v>
      </c>
      <c r="G681">
        <v>10156.780000000001</v>
      </c>
    </row>
    <row r="682" spans="1:7" x14ac:dyDescent="0.25">
      <c r="A682" t="s">
        <v>17</v>
      </c>
      <c r="B682" s="3" t="s">
        <v>7</v>
      </c>
      <c r="C682" t="s">
        <v>31</v>
      </c>
      <c r="D682">
        <v>1</v>
      </c>
      <c r="E682" s="3" t="s">
        <v>11</v>
      </c>
      <c r="F682" s="3" t="s">
        <v>9</v>
      </c>
      <c r="G682">
        <v>2585.27</v>
      </c>
    </row>
    <row r="683" spans="1:7" x14ac:dyDescent="0.25">
      <c r="A683" t="s">
        <v>17</v>
      </c>
      <c r="B683" s="3" t="s">
        <v>10</v>
      </c>
      <c r="C683" t="s">
        <v>23</v>
      </c>
      <c r="D683">
        <v>0</v>
      </c>
      <c r="E683" s="3" t="s">
        <v>11</v>
      </c>
      <c r="F683" s="3" t="s">
        <v>9</v>
      </c>
      <c r="G683">
        <v>1242.26</v>
      </c>
    </row>
    <row r="684" spans="1:7" x14ac:dyDescent="0.25">
      <c r="A684" t="s">
        <v>25</v>
      </c>
      <c r="B684" s="3" t="s">
        <v>10</v>
      </c>
      <c r="C684" t="s">
        <v>28</v>
      </c>
      <c r="D684">
        <v>2</v>
      </c>
      <c r="E684" s="3" t="s">
        <v>8</v>
      </c>
      <c r="F684" s="3" t="s">
        <v>9</v>
      </c>
      <c r="G684">
        <v>40103.89</v>
      </c>
    </row>
    <row r="685" spans="1:7" x14ac:dyDescent="0.25">
      <c r="A685" t="s">
        <v>30</v>
      </c>
      <c r="B685" s="3" t="s">
        <v>10</v>
      </c>
      <c r="C685" t="s">
        <v>23</v>
      </c>
      <c r="D685">
        <v>0</v>
      </c>
      <c r="E685" s="3" t="s">
        <v>11</v>
      </c>
      <c r="F685" s="3" t="s">
        <v>13</v>
      </c>
      <c r="G685">
        <v>9863.4699999999993</v>
      </c>
    </row>
    <row r="686" spans="1:7" x14ac:dyDescent="0.25">
      <c r="A686" t="s">
        <v>22</v>
      </c>
      <c r="B686" s="3" t="s">
        <v>7</v>
      </c>
      <c r="C686" t="s">
        <v>23</v>
      </c>
      <c r="D686">
        <v>1</v>
      </c>
      <c r="E686" s="3" t="s">
        <v>11</v>
      </c>
      <c r="F686" s="3" t="s">
        <v>9</v>
      </c>
      <c r="G686">
        <v>4766.0200000000004</v>
      </c>
    </row>
    <row r="687" spans="1:7" x14ac:dyDescent="0.25">
      <c r="A687" t="s">
        <v>30</v>
      </c>
      <c r="B687" s="3" t="s">
        <v>10</v>
      </c>
      <c r="C687" t="s">
        <v>18</v>
      </c>
      <c r="D687">
        <v>2</v>
      </c>
      <c r="E687" s="3" t="s">
        <v>11</v>
      </c>
      <c r="F687" s="3" t="s">
        <v>14</v>
      </c>
      <c r="G687">
        <v>11244.38</v>
      </c>
    </row>
    <row r="688" spans="1:7" x14ac:dyDescent="0.25">
      <c r="A688" t="s">
        <v>32</v>
      </c>
      <c r="B688" s="3" t="s">
        <v>10</v>
      </c>
      <c r="C688" t="s">
        <v>18</v>
      </c>
      <c r="D688">
        <v>2</v>
      </c>
      <c r="E688" s="3" t="s">
        <v>11</v>
      </c>
      <c r="F688" s="3" t="s">
        <v>14</v>
      </c>
      <c r="G688">
        <v>7729.65</v>
      </c>
    </row>
    <row r="689" spans="1:7" x14ac:dyDescent="0.25">
      <c r="A689" t="s">
        <v>25</v>
      </c>
      <c r="B689" s="3" t="s">
        <v>10</v>
      </c>
      <c r="C689" t="s">
        <v>29</v>
      </c>
      <c r="D689">
        <v>0</v>
      </c>
      <c r="E689" s="3" t="s">
        <v>11</v>
      </c>
      <c r="F689" s="3" t="s">
        <v>12</v>
      </c>
      <c r="G689">
        <v>5438.75</v>
      </c>
    </row>
    <row r="690" spans="1:7" x14ac:dyDescent="0.25">
      <c r="A690" t="s">
        <v>24</v>
      </c>
      <c r="B690" s="3" t="s">
        <v>7</v>
      </c>
      <c r="C690" t="s">
        <v>23</v>
      </c>
      <c r="D690">
        <v>1</v>
      </c>
      <c r="E690" s="3" t="s">
        <v>11</v>
      </c>
      <c r="F690" s="3" t="s">
        <v>9</v>
      </c>
      <c r="G690">
        <v>26236.58</v>
      </c>
    </row>
    <row r="691" spans="1:7" x14ac:dyDescent="0.25">
      <c r="A691" t="s">
        <v>21</v>
      </c>
      <c r="B691" s="3" t="s">
        <v>10</v>
      </c>
      <c r="C691" t="s">
        <v>20</v>
      </c>
      <c r="D691">
        <v>1</v>
      </c>
      <c r="E691" s="3" t="s">
        <v>8</v>
      </c>
      <c r="F691" s="3" t="s">
        <v>12</v>
      </c>
      <c r="G691">
        <v>34806.47</v>
      </c>
    </row>
    <row r="692" spans="1:7" x14ac:dyDescent="0.25">
      <c r="A692" t="s">
        <v>17</v>
      </c>
      <c r="B692" s="3" t="s">
        <v>10</v>
      </c>
      <c r="C692" t="s">
        <v>18</v>
      </c>
      <c r="D692">
        <v>0</v>
      </c>
      <c r="E692" s="3" t="s">
        <v>11</v>
      </c>
      <c r="F692" s="3" t="s">
        <v>14</v>
      </c>
      <c r="G692">
        <v>2104.11</v>
      </c>
    </row>
    <row r="693" spans="1:7" x14ac:dyDescent="0.25">
      <c r="A693" t="s">
        <v>24</v>
      </c>
      <c r="B693" s="3" t="s">
        <v>10</v>
      </c>
      <c r="C693" t="s">
        <v>28</v>
      </c>
      <c r="D693">
        <v>1</v>
      </c>
      <c r="E693" s="3" t="s">
        <v>11</v>
      </c>
      <c r="F693" s="3" t="s">
        <v>9</v>
      </c>
      <c r="G693">
        <v>8068.18</v>
      </c>
    </row>
    <row r="694" spans="1:7" x14ac:dyDescent="0.25">
      <c r="A694" t="s">
        <v>17</v>
      </c>
      <c r="B694" s="3" t="s">
        <v>10</v>
      </c>
      <c r="C694" t="s">
        <v>20</v>
      </c>
      <c r="D694">
        <v>1</v>
      </c>
      <c r="E694" s="3" t="s">
        <v>11</v>
      </c>
      <c r="F694" s="3" t="s">
        <v>13</v>
      </c>
      <c r="G694">
        <v>2362.23</v>
      </c>
    </row>
    <row r="695" spans="1:7" x14ac:dyDescent="0.25">
      <c r="A695" t="s">
        <v>17</v>
      </c>
      <c r="B695" s="3" t="s">
        <v>10</v>
      </c>
      <c r="C695" t="s">
        <v>23</v>
      </c>
      <c r="D695">
        <v>0</v>
      </c>
      <c r="E695" s="3" t="s">
        <v>11</v>
      </c>
      <c r="F695" s="3" t="s">
        <v>13</v>
      </c>
      <c r="G695">
        <v>2352.9699999999998</v>
      </c>
    </row>
    <row r="696" spans="1:7" x14ac:dyDescent="0.25">
      <c r="A696" t="s">
        <v>21</v>
      </c>
      <c r="B696" s="3" t="s">
        <v>7</v>
      </c>
      <c r="C696" t="s">
        <v>20</v>
      </c>
      <c r="D696">
        <v>1</v>
      </c>
      <c r="E696" s="3" t="s">
        <v>11</v>
      </c>
      <c r="F696" s="3" t="s">
        <v>9</v>
      </c>
      <c r="G696">
        <v>3578</v>
      </c>
    </row>
    <row r="697" spans="1:7" x14ac:dyDescent="0.25">
      <c r="A697" t="s">
        <v>21</v>
      </c>
      <c r="B697" s="3" t="s">
        <v>7</v>
      </c>
      <c r="C697" t="s">
        <v>29</v>
      </c>
      <c r="D697">
        <v>0</v>
      </c>
      <c r="E697" s="3" t="s">
        <v>11</v>
      </c>
      <c r="F697" s="3" t="s">
        <v>13</v>
      </c>
      <c r="G697">
        <v>3201.25</v>
      </c>
    </row>
    <row r="698" spans="1:7" x14ac:dyDescent="0.25">
      <c r="A698" t="s">
        <v>30</v>
      </c>
      <c r="B698" s="3" t="s">
        <v>7</v>
      </c>
      <c r="C698" t="s">
        <v>20</v>
      </c>
      <c r="D698">
        <v>2</v>
      </c>
      <c r="E698" s="3" t="s">
        <v>11</v>
      </c>
      <c r="F698" s="3" t="s">
        <v>14</v>
      </c>
      <c r="G698">
        <v>29186.48</v>
      </c>
    </row>
    <row r="699" spans="1:7" x14ac:dyDescent="0.25">
      <c r="A699" t="s">
        <v>32</v>
      </c>
      <c r="B699" s="3" t="s">
        <v>10</v>
      </c>
      <c r="C699" t="s">
        <v>28</v>
      </c>
      <c r="D699">
        <v>1</v>
      </c>
      <c r="E699" s="3" t="s">
        <v>8</v>
      </c>
      <c r="F699" s="3" t="s">
        <v>12</v>
      </c>
      <c r="G699">
        <v>40273.65</v>
      </c>
    </row>
    <row r="700" spans="1:7" x14ac:dyDescent="0.25">
      <c r="A700" t="s">
        <v>26</v>
      </c>
      <c r="B700" s="3" t="s">
        <v>10</v>
      </c>
      <c r="C700" t="s">
        <v>20</v>
      </c>
      <c r="D700">
        <v>0</v>
      </c>
      <c r="E700" s="3" t="s">
        <v>11</v>
      </c>
      <c r="F700" s="3" t="s">
        <v>13</v>
      </c>
      <c r="G700">
        <v>10976.25</v>
      </c>
    </row>
    <row r="701" spans="1:7" x14ac:dyDescent="0.25">
      <c r="A701" t="s">
        <v>17</v>
      </c>
      <c r="B701" s="3" t="s">
        <v>7</v>
      </c>
      <c r="C701" t="s">
        <v>28</v>
      </c>
      <c r="D701">
        <v>2</v>
      </c>
      <c r="E701" s="3" t="s">
        <v>11</v>
      </c>
      <c r="F701" s="3" t="s">
        <v>12</v>
      </c>
      <c r="G701">
        <v>3500.61</v>
      </c>
    </row>
    <row r="702" spans="1:7" x14ac:dyDescent="0.25">
      <c r="A702" t="s">
        <v>17</v>
      </c>
      <c r="B702" s="3" t="s">
        <v>7</v>
      </c>
      <c r="C702" t="s">
        <v>20</v>
      </c>
      <c r="D702">
        <v>0</v>
      </c>
      <c r="E702" s="3" t="s">
        <v>11</v>
      </c>
      <c r="F702" s="3" t="s">
        <v>12</v>
      </c>
      <c r="G702">
        <v>2020.55</v>
      </c>
    </row>
    <row r="703" spans="1:7" x14ac:dyDescent="0.25">
      <c r="A703" t="s">
        <v>24</v>
      </c>
      <c r="B703" s="3" t="s">
        <v>7</v>
      </c>
      <c r="C703" t="s">
        <v>29</v>
      </c>
      <c r="D703">
        <v>0</v>
      </c>
      <c r="E703" s="3" t="s">
        <v>11</v>
      </c>
      <c r="F703" s="3" t="s">
        <v>14</v>
      </c>
      <c r="G703">
        <v>9541.7000000000007</v>
      </c>
    </row>
    <row r="704" spans="1:7" x14ac:dyDescent="0.25">
      <c r="A704" t="s">
        <v>30</v>
      </c>
      <c r="B704" s="3" t="s">
        <v>10</v>
      </c>
      <c r="C704" t="s">
        <v>29</v>
      </c>
      <c r="D704">
        <v>0</v>
      </c>
      <c r="E704" s="3" t="s">
        <v>11</v>
      </c>
      <c r="F704" s="3" t="s">
        <v>12</v>
      </c>
      <c r="G704">
        <v>9504.31</v>
      </c>
    </row>
    <row r="705" spans="1:7" x14ac:dyDescent="0.25">
      <c r="A705" t="s">
        <v>22</v>
      </c>
      <c r="B705" s="3" t="s">
        <v>7</v>
      </c>
      <c r="C705" t="s">
        <v>18</v>
      </c>
      <c r="D705">
        <v>1</v>
      </c>
      <c r="E705" s="3" t="s">
        <v>11</v>
      </c>
      <c r="F705" s="3" t="s">
        <v>13</v>
      </c>
      <c r="G705">
        <v>5385.34</v>
      </c>
    </row>
    <row r="706" spans="1:7" x14ac:dyDescent="0.25">
      <c r="A706" t="s">
        <v>24</v>
      </c>
      <c r="B706" s="3" t="s">
        <v>7</v>
      </c>
      <c r="C706" t="s">
        <v>18</v>
      </c>
      <c r="D706">
        <v>1</v>
      </c>
      <c r="E706" s="3" t="s">
        <v>11</v>
      </c>
      <c r="F706" s="3" t="s">
        <v>13</v>
      </c>
      <c r="G706">
        <v>8930.93</v>
      </c>
    </row>
    <row r="707" spans="1:7" x14ac:dyDescent="0.25">
      <c r="A707" t="s">
        <v>22</v>
      </c>
      <c r="B707" s="3" t="s">
        <v>7</v>
      </c>
      <c r="C707" t="s">
        <v>20</v>
      </c>
      <c r="D707">
        <v>2</v>
      </c>
      <c r="E707" s="3" t="s">
        <v>11</v>
      </c>
      <c r="F707" s="3" t="s">
        <v>9</v>
      </c>
      <c r="G707">
        <v>5375.04</v>
      </c>
    </row>
    <row r="708" spans="1:7" x14ac:dyDescent="0.25">
      <c r="A708" t="s">
        <v>30</v>
      </c>
      <c r="B708" s="3" t="s">
        <v>7</v>
      </c>
      <c r="C708" t="s">
        <v>28</v>
      </c>
      <c r="D708">
        <v>0</v>
      </c>
      <c r="E708" s="3" t="s">
        <v>8</v>
      </c>
      <c r="F708" s="3" t="s">
        <v>12</v>
      </c>
      <c r="G708">
        <v>44400.41</v>
      </c>
    </row>
    <row r="709" spans="1:7" x14ac:dyDescent="0.25">
      <c r="A709" t="s">
        <v>24</v>
      </c>
      <c r="B709" s="3" t="s">
        <v>10</v>
      </c>
      <c r="C709" t="s">
        <v>18</v>
      </c>
      <c r="D709">
        <v>3</v>
      </c>
      <c r="E709" s="3" t="s">
        <v>11</v>
      </c>
      <c r="F709" s="3" t="s">
        <v>13</v>
      </c>
      <c r="G709">
        <v>10264.44</v>
      </c>
    </row>
    <row r="710" spans="1:7" x14ac:dyDescent="0.25">
      <c r="A710" t="s">
        <v>22</v>
      </c>
      <c r="B710" s="3" t="s">
        <v>7</v>
      </c>
      <c r="C710" t="s">
        <v>20</v>
      </c>
      <c r="D710">
        <v>3</v>
      </c>
      <c r="E710" s="3" t="s">
        <v>11</v>
      </c>
      <c r="F710" s="3" t="s">
        <v>14</v>
      </c>
      <c r="G710">
        <v>6113.23</v>
      </c>
    </row>
    <row r="711" spans="1:7" x14ac:dyDescent="0.25">
      <c r="A711" t="s">
        <v>25</v>
      </c>
      <c r="B711" s="3" t="s">
        <v>7</v>
      </c>
      <c r="C711" t="s">
        <v>18</v>
      </c>
      <c r="D711">
        <v>0</v>
      </c>
      <c r="E711" s="3" t="s">
        <v>11</v>
      </c>
      <c r="F711" s="3" t="s">
        <v>14</v>
      </c>
      <c r="G711">
        <v>5469.01</v>
      </c>
    </row>
    <row r="712" spans="1:7" x14ac:dyDescent="0.25">
      <c r="A712" t="s">
        <v>19</v>
      </c>
      <c r="B712" s="3" t="s">
        <v>10</v>
      </c>
      <c r="C712" t="s">
        <v>28</v>
      </c>
      <c r="D712">
        <v>1</v>
      </c>
      <c r="E712" s="3" t="s">
        <v>11</v>
      </c>
      <c r="F712" s="3" t="s">
        <v>12</v>
      </c>
      <c r="G712">
        <v>1727.54</v>
      </c>
    </row>
    <row r="713" spans="1:7" x14ac:dyDescent="0.25">
      <c r="A713" t="s">
        <v>24</v>
      </c>
      <c r="B713" s="3" t="s">
        <v>7</v>
      </c>
      <c r="C713" t="s">
        <v>23</v>
      </c>
      <c r="D713">
        <v>2</v>
      </c>
      <c r="E713" s="3" t="s">
        <v>11</v>
      </c>
      <c r="F713" s="3" t="s">
        <v>12</v>
      </c>
      <c r="G713">
        <v>10107.219999999999</v>
      </c>
    </row>
    <row r="714" spans="1:7" x14ac:dyDescent="0.25">
      <c r="A714" t="s">
        <v>32</v>
      </c>
      <c r="B714" s="3" t="s">
        <v>7</v>
      </c>
      <c r="C714" t="s">
        <v>20</v>
      </c>
      <c r="D714">
        <v>2</v>
      </c>
      <c r="E714" s="3" t="s">
        <v>11</v>
      </c>
      <c r="F714" s="3" t="s">
        <v>13</v>
      </c>
      <c r="G714">
        <v>8310.84</v>
      </c>
    </row>
    <row r="715" spans="1:7" x14ac:dyDescent="0.25">
      <c r="A715" t="s">
        <v>17</v>
      </c>
      <c r="B715" s="3" t="s">
        <v>10</v>
      </c>
      <c r="C715" t="s">
        <v>29</v>
      </c>
      <c r="D715">
        <v>0</v>
      </c>
      <c r="E715" s="3" t="s">
        <v>11</v>
      </c>
      <c r="F715" s="3" t="s">
        <v>14</v>
      </c>
      <c r="G715">
        <v>1984.45</v>
      </c>
    </row>
    <row r="716" spans="1:7" x14ac:dyDescent="0.25">
      <c r="A716" t="s">
        <v>17</v>
      </c>
      <c r="B716" s="3" t="s">
        <v>7</v>
      </c>
      <c r="C716" t="s">
        <v>23</v>
      </c>
      <c r="D716">
        <v>0</v>
      </c>
      <c r="E716" s="3" t="s">
        <v>11</v>
      </c>
      <c r="F716" s="3" t="s">
        <v>9</v>
      </c>
      <c r="G716">
        <v>2457.5</v>
      </c>
    </row>
    <row r="717" spans="1:7" x14ac:dyDescent="0.25">
      <c r="A717" t="s">
        <v>26</v>
      </c>
      <c r="B717" s="3" t="s">
        <v>10</v>
      </c>
      <c r="C717" t="s">
        <v>18</v>
      </c>
      <c r="D717">
        <v>0</v>
      </c>
      <c r="E717" s="3" t="s">
        <v>11</v>
      </c>
      <c r="F717" s="3" t="s">
        <v>9</v>
      </c>
      <c r="G717">
        <v>12146.97</v>
      </c>
    </row>
    <row r="718" spans="1:7" x14ac:dyDescent="0.25">
      <c r="A718" t="s">
        <v>24</v>
      </c>
      <c r="B718" s="3" t="s">
        <v>7</v>
      </c>
      <c r="C718" t="s">
        <v>23</v>
      </c>
      <c r="D718">
        <v>1</v>
      </c>
      <c r="E718" s="3" t="s">
        <v>11</v>
      </c>
      <c r="F718" s="3" t="s">
        <v>13</v>
      </c>
      <c r="G718">
        <v>9566.99</v>
      </c>
    </row>
    <row r="719" spans="1:7" x14ac:dyDescent="0.25">
      <c r="A719" t="s">
        <v>26</v>
      </c>
      <c r="B719" s="3" t="s">
        <v>10</v>
      </c>
      <c r="C719" t="s">
        <v>23</v>
      </c>
      <c r="D719">
        <v>1</v>
      </c>
      <c r="E719" s="3" t="s">
        <v>11</v>
      </c>
      <c r="F719" s="3" t="s">
        <v>13</v>
      </c>
      <c r="G719">
        <v>13112.6</v>
      </c>
    </row>
    <row r="720" spans="1:7" x14ac:dyDescent="0.25">
      <c r="A720" t="s">
        <v>30</v>
      </c>
      <c r="B720" s="3" t="s">
        <v>7</v>
      </c>
      <c r="C720" t="s">
        <v>28</v>
      </c>
      <c r="D720">
        <v>2</v>
      </c>
      <c r="E720" s="3" t="s">
        <v>11</v>
      </c>
      <c r="F720" s="3" t="s">
        <v>13</v>
      </c>
      <c r="G720">
        <v>10848.13</v>
      </c>
    </row>
    <row r="721" spans="1:7" x14ac:dyDescent="0.25">
      <c r="A721" t="s">
        <v>26</v>
      </c>
      <c r="B721" s="3" t="s">
        <v>7</v>
      </c>
      <c r="C721" t="s">
        <v>20</v>
      </c>
      <c r="D721">
        <v>0</v>
      </c>
      <c r="E721" s="3" t="s">
        <v>11</v>
      </c>
      <c r="F721" s="3" t="s">
        <v>13</v>
      </c>
      <c r="G721">
        <v>12231.61</v>
      </c>
    </row>
    <row r="722" spans="1:7" x14ac:dyDescent="0.25">
      <c r="A722" t="s">
        <v>30</v>
      </c>
      <c r="B722" s="3" t="s">
        <v>7</v>
      </c>
      <c r="C722" t="s">
        <v>29</v>
      </c>
      <c r="D722">
        <v>0</v>
      </c>
      <c r="E722" s="3" t="s">
        <v>11</v>
      </c>
      <c r="F722" s="3" t="s">
        <v>14</v>
      </c>
      <c r="G722">
        <v>9875.68</v>
      </c>
    </row>
    <row r="723" spans="1:7" x14ac:dyDescent="0.25">
      <c r="A723" t="s">
        <v>30</v>
      </c>
      <c r="B723" s="3" t="s">
        <v>10</v>
      </c>
      <c r="C723" t="s">
        <v>28</v>
      </c>
      <c r="D723">
        <v>3</v>
      </c>
      <c r="E723" s="3" t="s">
        <v>11</v>
      </c>
      <c r="F723" s="3" t="s">
        <v>9</v>
      </c>
      <c r="G723">
        <v>11264.54</v>
      </c>
    </row>
    <row r="724" spans="1:7" x14ac:dyDescent="0.25">
      <c r="A724" t="s">
        <v>27</v>
      </c>
      <c r="B724" s="3" t="s">
        <v>10</v>
      </c>
      <c r="C724" t="s">
        <v>28</v>
      </c>
      <c r="D724">
        <v>0</v>
      </c>
      <c r="E724" s="3" t="s">
        <v>11</v>
      </c>
      <c r="F724" s="3" t="s">
        <v>9</v>
      </c>
      <c r="G724">
        <v>12979.36</v>
      </c>
    </row>
    <row r="725" spans="1:7" x14ac:dyDescent="0.25">
      <c r="A725" t="s">
        <v>17</v>
      </c>
      <c r="B725" s="3" t="s">
        <v>10</v>
      </c>
      <c r="C725" t="s">
        <v>28</v>
      </c>
      <c r="D725">
        <v>0</v>
      </c>
      <c r="E725" s="3" t="s">
        <v>11</v>
      </c>
      <c r="F725" s="3" t="s">
        <v>9</v>
      </c>
      <c r="G725">
        <v>1263.25</v>
      </c>
    </row>
    <row r="726" spans="1:7" x14ac:dyDescent="0.25">
      <c r="A726" t="s">
        <v>24</v>
      </c>
      <c r="B726" s="3" t="s">
        <v>7</v>
      </c>
      <c r="C726" t="s">
        <v>18</v>
      </c>
      <c r="D726">
        <v>1</v>
      </c>
      <c r="E726" s="3" t="s">
        <v>11</v>
      </c>
      <c r="F726" s="3" t="s">
        <v>14</v>
      </c>
      <c r="G726">
        <v>10106.129999999999</v>
      </c>
    </row>
    <row r="727" spans="1:7" x14ac:dyDescent="0.25">
      <c r="A727" t="s">
        <v>21</v>
      </c>
      <c r="B727" s="3" t="s">
        <v>7</v>
      </c>
      <c r="C727" t="s">
        <v>28</v>
      </c>
      <c r="D727">
        <v>3</v>
      </c>
      <c r="E727" s="3" t="s">
        <v>8</v>
      </c>
      <c r="F727" s="3" t="s">
        <v>12</v>
      </c>
      <c r="G727">
        <v>40932.43</v>
      </c>
    </row>
    <row r="728" spans="1:7" x14ac:dyDescent="0.25">
      <c r="A728" t="s">
        <v>32</v>
      </c>
      <c r="B728" s="3" t="s">
        <v>10</v>
      </c>
      <c r="C728" t="s">
        <v>18</v>
      </c>
      <c r="D728">
        <v>1</v>
      </c>
      <c r="E728" s="3" t="s">
        <v>11</v>
      </c>
      <c r="F728" s="3" t="s">
        <v>13</v>
      </c>
      <c r="G728">
        <v>6664.69</v>
      </c>
    </row>
    <row r="729" spans="1:7" x14ac:dyDescent="0.25">
      <c r="A729" t="s">
        <v>21</v>
      </c>
      <c r="B729" s="3" t="s">
        <v>7</v>
      </c>
      <c r="C729" t="s">
        <v>23</v>
      </c>
      <c r="D729">
        <v>1</v>
      </c>
      <c r="E729" s="3" t="s">
        <v>8</v>
      </c>
      <c r="F729" s="3" t="s">
        <v>14</v>
      </c>
      <c r="G729">
        <v>16657.72</v>
      </c>
    </row>
    <row r="730" spans="1:7" x14ac:dyDescent="0.25">
      <c r="A730" t="s">
        <v>19</v>
      </c>
      <c r="B730" s="3" t="s">
        <v>7</v>
      </c>
      <c r="C730" t="s">
        <v>29</v>
      </c>
      <c r="D730">
        <v>0</v>
      </c>
      <c r="E730" s="3" t="s">
        <v>11</v>
      </c>
      <c r="F730" s="3" t="s">
        <v>14</v>
      </c>
      <c r="G730">
        <v>2217.6</v>
      </c>
    </row>
    <row r="731" spans="1:7" x14ac:dyDescent="0.25">
      <c r="A731" t="s">
        <v>32</v>
      </c>
      <c r="B731" s="3" t="s">
        <v>7</v>
      </c>
      <c r="C731" t="s">
        <v>28</v>
      </c>
      <c r="D731">
        <v>1</v>
      </c>
      <c r="E731" s="3" t="s">
        <v>11</v>
      </c>
      <c r="F731" s="3" t="s">
        <v>12</v>
      </c>
      <c r="G731">
        <v>6781.35</v>
      </c>
    </row>
    <row r="732" spans="1:7" x14ac:dyDescent="0.25">
      <c r="A732" t="s">
        <v>22</v>
      </c>
      <c r="B732" s="3" t="s">
        <v>10</v>
      </c>
      <c r="C732" t="s">
        <v>23</v>
      </c>
      <c r="D732">
        <v>3</v>
      </c>
      <c r="E732" s="3" t="s">
        <v>8</v>
      </c>
      <c r="F732" s="3" t="s">
        <v>12</v>
      </c>
      <c r="G732">
        <v>19362</v>
      </c>
    </row>
    <row r="733" spans="1:7" x14ac:dyDescent="0.25">
      <c r="A733" t="s">
        <v>30</v>
      </c>
      <c r="B733" s="3" t="s">
        <v>10</v>
      </c>
      <c r="C733" t="s">
        <v>23</v>
      </c>
      <c r="D733">
        <v>1</v>
      </c>
      <c r="E733" s="3" t="s">
        <v>11</v>
      </c>
      <c r="F733" s="3" t="s">
        <v>9</v>
      </c>
      <c r="G733">
        <v>10065.41</v>
      </c>
    </row>
    <row r="734" spans="1:7" x14ac:dyDescent="0.25">
      <c r="A734" t="s">
        <v>17</v>
      </c>
      <c r="B734" s="3" t="s">
        <v>7</v>
      </c>
      <c r="C734" t="s">
        <v>20</v>
      </c>
      <c r="D734">
        <v>3</v>
      </c>
      <c r="E734" s="3" t="s">
        <v>11</v>
      </c>
      <c r="F734" s="3" t="s">
        <v>9</v>
      </c>
      <c r="G734">
        <v>4234.93</v>
      </c>
    </row>
    <row r="735" spans="1:7" x14ac:dyDescent="0.25">
      <c r="A735" t="s">
        <v>24</v>
      </c>
      <c r="B735" s="3" t="s">
        <v>7</v>
      </c>
      <c r="C735" t="s">
        <v>18</v>
      </c>
      <c r="D735">
        <v>1</v>
      </c>
      <c r="E735" s="3" t="s">
        <v>11</v>
      </c>
      <c r="F735" s="3" t="s">
        <v>14</v>
      </c>
      <c r="G735">
        <v>9447.25</v>
      </c>
    </row>
    <row r="736" spans="1:7" x14ac:dyDescent="0.25">
      <c r="A736" t="s">
        <v>26</v>
      </c>
      <c r="B736" s="3" t="s">
        <v>7</v>
      </c>
      <c r="C736" t="s">
        <v>20</v>
      </c>
      <c r="D736">
        <v>3</v>
      </c>
      <c r="E736" s="3" t="s">
        <v>11</v>
      </c>
      <c r="F736" s="3" t="s">
        <v>9</v>
      </c>
      <c r="G736">
        <v>14007.22</v>
      </c>
    </row>
    <row r="737" spans="1:7" x14ac:dyDescent="0.25">
      <c r="A737" t="s">
        <v>24</v>
      </c>
      <c r="B737" s="3" t="s">
        <v>7</v>
      </c>
      <c r="C737" t="s">
        <v>20</v>
      </c>
      <c r="D737">
        <v>1</v>
      </c>
      <c r="E737" s="3" t="s">
        <v>11</v>
      </c>
      <c r="F737" s="3" t="s">
        <v>13</v>
      </c>
      <c r="G737">
        <v>9583.89</v>
      </c>
    </row>
    <row r="738" spans="1:7" x14ac:dyDescent="0.25">
      <c r="A738" t="s">
        <v>25</v>
      </c>
      <c r="B738" s="3" t="s">
        <v>7</v>
      </c>
      <c r="C738" t="s">
        <v>28</v>
      </c>
      <c r="D738">
        <v>0</v>
      </c>
      <c r="E738" s="3" t="s">
        <v>8</v>
      </c>
      <c r="F738" s="3" t="s">
        <v>12</v>
      </c>
      <c r="G738">
        <v>40419.019999999997</v>
      </c>
    </row>
    <row r="739" spans="1:7" x14ac:dyDescent="0.25">
      <c r="A739" t="s">
        <v>21</v>
      </c>
      <c r="B739" s="3" t="s">
        <v>10</v>
      </c>
      <c r="C739" t="s">
        <v>23</v>
      </c>
      <c r="D739">
        <v>2</v>
      </c>
      <c r="E739" s="3" t="s">
        <v>11</v>
      </c>
      <c r="F739" s="3" t="s">
        <v>9</v>
      </c>
      <c r="G739">
        <v>3484.33</v>
      </c>
    </row>
    <row r="740" spans="1:7" x14ac:dyDescent="0.25">
      <c r="A740" t="s">
        <v>17</v>
      </c>
      <c r="B740" s="3" t="s">
        <v>10</v>
      </c>
      <c r="C740" t="s">
        <v>20</v>
      </c>
      <c r="D740">
        <v>3</v>
      </c>
      <c r="E740" s="3" t="s">
        <v>8</v>
      </c>
      <c r="F740" s="3" t="s">
        <v>14</v>
      </c>
      <c r="G740">
        <v>36189.1</v>
      </c>
    </row>
    <row r="741" spans="1:7" x14ac:dyDescent="0.25">
      <c r="A741" t="s">
        <v>21</v>
      </c>
      <c r="B741" s="3" t="s">
        <v>10</v>
      </c>
      <c r="C741" t="s">
        <v>28</v>
      </c>
      <c r="D741">
        <v>2</v>
      </c>
      <c r="E741" s="3" t="s">
        <v>8</v>
      </c>
      <c r="F741" s="3" t="s">
        <v>9</v>
      </c>
      <c r="G741">
        <v>44585.46</v>
      </c>
    </row>
    <row r="742" spans="1:7" x14ac:dyDescent="0.25">
      <c r="A742" t="s">
        <v>32</v>
      </c>
      <c r="B742" s="3" t="s">
        <v>10</v>
      </c>
      <c r="C742" t="s">
        <v>23</v>
      </c>
      <c r="D742">
        <v>2</v>
      </c>
      <c r="E742" s="3" t="s">
        <v>11</v>
      </c>
      <c r="F742" s="3" t="s">
        <v>14</v>
      </c>
      <c r="G742">
        <v>8604.48</v>
      </c>
    </row>
    <row r="743" spans="1:7" x14ac:dyDescent="0.25">
      <c r="A743" t="s">
        <v>21</v>
      </c>
      <c r="B743" s="3" t="s">
        <v>10</v>
      </c>
      <c r="C743" t="s">
        <v>18</v>
      </c>
      <c r="D743">
        <v>0</v>
      </c>
      <c r="E743" s="3" t="s">
        <v>8</v>
      </c>
      <c r="F743" s="3" t="s">
        <v>12</v>
      </c>
      <c r="G743">
        <v>18246.5</v>
      </c>
    </row>
    <row r="744" spans="1:7" x14ac:dyDescent="0.25">
      <c r="A744" t="s">
        <v>30</v>
      </c>
      <c r="B744" s="3" t="s">
        <v>10</v>
      </c>
      <c r="C744" t="s">
        <v>20</v>
      </c>
      <c r="D744">
        <v>0</v>
      </c>
      <c r="E744" s="3" t="s">
        <v>8</v>
      </c>
      <c r="F744" s="3" t="s">
        <v>14</v>
      </c>
      <c r="G744">
        <v>43254.42</v>
      </c>
    </row>
    <row r="745" spans="1:7" x14ac:dyDescent="0.25">
      <c r="A745" t="s">
        <v>22</v>
      </c>
      <c r="B745" s="3" t="s">
        <v>7</v>
      </c>
      <c r="C745" t="s">
        <v>18</v>
      </c>
      <c r="D745">
        <v>0</v>
      </c>
      <c r="E745" s="3" t="s">
        <v>11</v>
      </c>
      <c r="F745" s="3" t="s">
        <v>12</v>
      </c>
      <c r="G745">
        <v>3757.84</v>
      </c>
    </row>
    <row r="746" spans="1:7" x14ac:dyDescent="0.25">
      <c r="A746" t="s">
        <v>24</v>
      </c>
      <c r="B746" s="3" t="s">
        <v>10</v>
      </c>
      <c r="C746" t="s">
        <v>18</v>
      </c>
      <c r="D746">
        <v>0</v>
      </c>
      <c r="E746" s="3" t="s">
        <v>11</v>
      </c>
      <c r="F746" s="3" t="s">
        <v>13</v>
      </c>
      <c r="G746">
        <v>8827.2099999999991</v>
      </c>
    </row>
    <row r="747" spans="1:7" x14ac:dyDescent="0.25">
      <c r="A747" t="s">
        <v>24</v>
      </c>
      <c r="B747" s="3" t="s">
        <v>7</v>
      </c>
      <c r="C747" t="s">
        <v>20</v>
      </c>
      <c r="D747">
        <v>1</v>
      </c>
      <c r="E747" s="3" t="s">
        <v>11</v>
      </c>
      <c r="F747" s="3" t="s">
        <v>13</v>
      </c>
      <c r="G747">
        <v>9910.36</v>
      </c>
    </row>
    <row r="748" spans="1:7" x14ac:dyDescent="0.25">
      <c r="A748" t="s">
        <v>22</v>
      </c>
      <c r="B748" s="3" t="s">
        <v>10</v>
      </c>
      <c r="C748" t="s">
        <v>18</v>
      </c>
      <c r="D748">
        <v>2</v>
      </c>
      <c r="E748" s="3" t="s">
        <v>11</v>
      </c>
      <c r="F748" s="3" t="s">
        <v>9</v>
      </c>
      <c r="G748">
        <v>11737.85</v>
      </c>
    </row>
    <row r="749" spans="1:7" x14ac:dyDescent="0.25">
      <c r="A749" t="s">
        <v>17</v>
      </c>
      <c r="B749" s="3" t="s">
        <v>10</v>
      </c>
      <c r="C749" t="s">
        <v>23</v>
      </c>
      <c r="D749">
        <v>0</v>
      </c>
      <c r="E749" s="3" t="s">
        <v>11</v>
      </c>
      <c r="F749" s="3" t="s">
        <v>13</v>
      </c>
      <c r="G749">
        <v>1627.28</v>
      </c>
    </row>
    <row r="750" spans="1:7" x14ac:dyDescent="0.25">
      <c r="A750" t="s">
        <v>24</v>
      </c>
      <c r="B750" s="3" t="s">
        <v>7</v>
      </c>
      <c r="C750" t="s">
        <v>28</v>
      </c>
      <c r="D750">
        <v>1</v>
      </c>
      <c r="E750" s="3" t="s">
        <v>11</v>
      </c>
      <c r="F750" s="3" t="s">
        <v>9</v>
      </c>
      <c r="G750">
        <v>8556.91</v>
      </c>
    </row>
    <row r="751" spans="1:7" x14ac:dyDescent="0.25">
      <c r="A751" t="s">
        <v>21</v>
      </c>
      <c r="B751" s="3" t="s">
        <v>10</v>
      </c>
      <c r="C751" t="s">
        <v>20</v>
      </c>
      <c r="D751">
        <v>0</v>
      </c>
      <c r="E751" s="3" t="s">
        <v>11</v>
      </c>
      <c r="F751" s="3" t="s">
        <v>13</v>
      </c>
      <c r="G751">
        <v>3062.51</v>
      </c>
    </row>
    <row r="752" spans="1:7" x14ac:dyDescent="0.25">
      <c r="A752" t="s">
        <v>25</v>
      </c>
      <c r="B752" s="3" t="s">
        <v>7</v>
      </c>
      <c r="C752" t="s">
        <v>18</v>
      </c>
      <c r="D752">
        <v>0</v>
      </c>
      <c r="E752" s="3" t="s">
        <v>8</v>
      </c>
      <c r="F752" s="3" t="s">
        <v>12</v>
      </c>
      <c r="G752">
        <v>19539.240000000002</v>
      </c>
    </row>
    <row r="753" spans="1:7" x14ac:dyDescent="0.25">
      <c r="A753" t="s">
        <v>17</v>
      </c>
      <c r="B753" s="3" t="s">
        <v>10</v>
      </c>
      <c r="C753" t="s">
        <v>18</v>
      </c>
      <c r="D753">
        <v>0</v>
      </c>
      <c r="E753" s="3" t="s">
        <v>11</v>
      </c>
      <c r="F753" s="3" t="s">
        <v>13</v>
      </c>
      <c r="G753">
        <v>1906.36</v>
      </c>
    </row>
    <row r="754" spans="1:7" x14ac:dyDescent="0.25">
      <c r="A754" t="s">
        <v>27</v>
      </c>
      <c r="B754" s="3" t="s">
        <v>10</v>
      </c>
      <c r="C754" t="s">
        <v>28</v>
      </c>
      <c r="D754">
        <v>0</v>
      </c>
      <c r="E754" s="3" t="s">
        <v>11</v>
      </c>
      <c r="F754" s="3" t="s">
        <v>13</v>
      </c>
      <c r="G754">
        <v>14210.54</v>
      </c>
    </row>
    <row r="755" spans="1:7" x14ac:dyDescent="0.25">
      <c r="A755" t="s">
        <v>26</v>
      </c>
      <c r="B755" s="3" t="s">
        <v>7</v>
      </c>
      <c r="C755" t="s">
        <v>23</v>
      </c>
      <c r="D755">
        <v>0</v>
      </c>
      <c r="E755" s="3" t="s">
        <v>11</v>
      </c>
      <c r="F755" s="3" t="s">
        <v>12</v>
      </c>
      <c r="G755">
        <v>11833.78</v>
      </c>
    </row>
    <row r="756" spans="1:7" x14ac:dyDescent="0.25">
      <c r="A756" t="s">
        <v>17</v>
      </c>
      <c r="B756" s="3" t="s">
        <v>10</v>
      </c>
      <c r="C756" t="s">
        <v>20</v>
      </c>
      <c r="D756">
        <v>4</v>
      </c>
      <c r="E756" s="3" t="s">
        <v>11</v>
      </c>
      <c r="F756" s="3" t="s">
        <v>14</v>
      </c>
      <c r="G756">
        <v>17128.43</v>
      </c>
    </row>
    <row r="757" spans="1:7" x14ac:dyDescent="0.25">
      <c r="A757" t="s">
        <v>22</v>
      </c>
      <c r="B757" s="3" t="s">
        <v>10</v>
      </c>
      <c r="C757" t="s">
        <v>18</v>
      </c>
      <c r="D757">
        <v>2</v>
      </c>
      <c r="E757" s="3" t="s">
        <v>11</v>
      </c>
      <c r="F757" s="3" t="s">
        <v>14</v>
      </c>
      <c r="G757">
        <v>5031.2700000000004</v>
      </c>
    </row>
    <row r="758" spans="1:7" x14ac:dyDescent="0.25">
      <c r="A758" t="s">
        <v>25</v>
      </c>
      <c r="B758" s="3" t="s">
        <v>7</v>
      </c>
      <c r="C758" t="s">
        <v>23</v>
      </c>
      <c r="D758">
        <v>3</v>
      </c>
      <c r="E758" s="3" t="s">
        <v>11</v>
      </c>
      <c r="F758" s="3" t="s">
        <v>14</v>
      </c>
      <c r="G758">
        <v>7985.82</v>
      </c>
    </row>
    <row r="759" spans="1:7" x14ac:dyDescent="0.25">
      <c r="A759" t="s">
        <v>24</v>
      </c>
      <c r="B759" s="3" t="s">
        <v>7</v>
      </c>
      <c r="C759" t="s">
        <v>18</v>
      </c>
      <c r="D759">
        <v>0</v>
      </c>
      <c r="E759" s="3" t="s">
        <v>8</v>
      </c>
      <c r="F759" s="3" t="s">
        <v>12</v>
      </c>
      <c r="G759">
        <v>23065.42</v>
      </c>
    </row>
    <row r="760" spans="1:7" x14ac:dyDescent="0.25">
      <c r="A760" t="s">
        <v>21</v>
      </c>
      <c r="B760" s="3" t="s">
        <v>10</v>
      </c>
      <c r="C760" t="s">
        <v>28</v>
      </c>
      <c r="D760">
        <v>3</v>
      </c>
      <c r="E760" s="3" t="s">
        <v>11</v>
      </c>
      <c r="F760" s="3" t="s">
        <v>14</v>
      </c>
      <c r="G760">
        <v>5428.73</v>
      </c>
    </row>
    <row r="761" spans="1:7" x14ac:dyDescent="0.25">
      <c r="A761" t="s">
        <v>19</v>
      </c>
      <c r="B761" s="3" t="s">
        <v>10</v>
      </c>
      <c r="C761" t="s">
        <v>28</v>
      </c>
      <c r="D761">
        <v>0</v>
      </c>
      <c r="E761" s="3" t="s">
        <v>8</v>
      </c>
      <c r="F761" s="3" t="s">
        <v>12</v>
      </c>
      <c r="G761">
        <v>36307.800000000003</v>
      </c>
    </row>
    <row r="762" spans="1:7" x14ac:dyDescent="0.25">
      <c r="A762" t="s">
        <v>17</v>
      </c>
      <c r="B762" s="3" t="s">
        <v>7</v>
      </c>
      <c r="C762" t="s">
        <v>20</v>
      </c>
      <c r="D762">
        <v>2</v>
      </c>
      <c r="E762" s="3" t="s">
        <v>11</v>
      </c>
      <c r="F762" s="3" t="s">
        <v>14</v>
      </c>
      <c r="G762">
        <v>3925.76</v>
      </c>
    </row>
    <row r="763" spans="1:7" x14ac:dyDescent="0.25">
      <c r="A763" t="s">
        <v>17</v>
      </c>
      <c r="B763" s="3" t="s">
        <v>10</v>
      </c>
      <c r="C763" t="s">
        <v>28</v>
      </c>
      <c r="D763">
        <v>1</v>
      </c>
      <c r="E763" s="3" t="s">
        <v>11</v>
      </c>
      <c r="F763" s="3" t="s">
        <v>9</v>
      </c>
      <c r="G763">
        <v>2416.96</v>
      </c>
    </row>
    <row r="764" spans="1:7" x14ac:dyDescent="0.25">
      <c r="A764" t="s">
        <v>22</v>
      </c>
      <c r="B764" s="3" t="s">
        <v>10</v>
      </c>
      <c r="C764" t="s">
        <v>18</v>
      </c>
      <c r="D764">
        <v>1</v>
      </c>
      <c r="E764" s="3" t="s">
        <v>8</v>
      </c>
      <c r="F764" s="3" t="s">
        <v>9</v>
      </c>
      <c r="G764">
        <v>19040.88</v>
      </c>
    </row>
    <row r="765" spans="1:7" x14ac:dyDescent="0.25">
      <c r="A765" t="s">
        <v>21</v>
      </c>
      <c r="B765" s="3" t="s">
        <v>10</v>
      </c>
      <c r="C765" t="s">
        <v>18</v>
      </c>
      <c r="D765">
        <v>0</v>
      </c>
      <c r="E765" s="3" t="s">
        <v>11</v>
      </c>
      <c r="F765" s="3" t="s">
        <v>14</v>
      </c>
      <c r="G765">
        <v>3070.81</v>
      </c>
    </row>
    <row r="766" spans="1:7" x14ac:dyDescent="0.25">
      <c r="A766" t="s">
        <v>32</v>
      </c>
      <c r="B766" s="3" t="s">
        <v>7</v>
      </c>
      <c r="C766" t="s">
        <v>18</v>
      </c>
      <c r="D766">
        <v>2</v>
      </c>
      <c r="E766" s="3" t="s">
        <v>11</v>
      </c>
      <c r="F766" s="3" t="s">
        <v>14</v>
      </c>
      <c r="G766">
        <v>9095.07</v>
      </c>
    </row>
    <row r="767" spans="1:7" x14ac:dyDescent="0.25">
      <c r="A767" t="s">
        <v>26</v>
      </c>
      <c r="B767" s="3" t="s">
        <v>7</v>
      </c>
      <c r="C767" t="s">
        <v>20</v>
      </c>
      <c r="D767">
        <v>0</v>
      </c>
      <c r="E767" s="3" t="s">
        <v>11</v>
      </c>
      <c r="F767" s="3" t="s">
        <v>13</v>
      </c>
      <c r="G767">
        <v>11842.62</v>
      </c>
    </row>
    <row r="768" spans="1:7" x14ac:dyDescent="0.25">
      <c r="A768" t="s">
        <v>24</v>
      </c>
      <c r="B768" s="3" t="s">
        <v>10</v>
      </c>
      <c r="C768" t="s">
        <v>20</v>
      </c>
      <c r="D768">
        <v>1</v>
      </c>
      <c r="E768" s="3" t="s">
        <v>11</v>
      </c>
      <c r="F768" s="3" t="s">
        <v>9</v>
      </c>
      <c r="G768">
        <v>8062.76</v>
      </c>
    </row>
    <row r="769" spans="1:7" x14ac:dyDescent="0.25">
      <c r="A769" t="s">
        <v>32</v>
      </c>
      <c r="B769" s="3" t="s">
        <v>7</v>
      </c>
      <c r="C769" t="s">
        <v>18</v>
      </c>
      <c r="D769">
        <v>1</v>
      </c>
      <c r="E769" s="3" t="s">
        <v>11</v>
      </c>
      <c r="F769" s="3" t="s">
        <v>9</v>
      </c>
      <c r="G769">
        <v>7050.64</v>
      </c>
    </row>
    <row r="770" spans="1:7" x14ac:dyDescent="0.25">
      <c r="A770" t="s">
        <v>27</v>
      </c>
      <c r="B770" s="3" t="s">
        <v>7</v>
      </c>
      <c r="C770" t="s">
        <v>28</v>
      </c>
      <c r="D770">
        <v>0</v>
      </c>
      <c r="E770" s="3" t="s">
        <v>11</v>
      </c>
      <c r="F770" s="3" t="s">
        <v>9</v>
      </c>
      <c r="G770">
        <v>14319.03</v>
      </c>
    </row>
    <row r="771" spans="1:7" x14ac:dyDescent="0.25">
      <c r="A771" t="s">
        <v>25</v>
      </c>
      <c r="B771" s="3" t="s">
        <v>7</v>
      </c>
      <c r="C771" t="s">
        <v>23</v>
      </c>
      <c r="D771">
        <v>2</v>
      </c>
      <c r="E771" s="3" t="s">
        <v>11</v>
      </c>
      <c r="F771" s="3" t="s">
        <v>13</v>
      </c>
      <c r="G771">
        <v>6933.24</v>
      </c>
    </row>
    <row r="772" spans="1:7" x14ac:dyDescent="0.25">
      <c r="A772" t="s">
        <v>27</v>
      </c>
      <c r="B772" s="3" t="s">
        <v>10</v>
      </c>
      <c r="C772" t="s">
        <v>28</v>
      </c>
      <c r="D772">
        <v>3</v>
      </c>
      <c r="E772" s="3" t="s">
        <v>11</v>
      </c>
      <c r="F772" s="3" t="s">
        <v>9</v>
      </c>
      <c r="G772">
        <v>27941.29</v>
      </c>
    </row>
    <row r="773" spans="1:7" x14ac:dyDescent="0.25">
      <c r="A773" t="s">
        <v>30</v>
      </c>
      <c r="B773" s="3" t="s">
        <v>7</v>
      </c>
      <c r="C773" t="s">
        <v>18</v>
      </c>
      <c r="D773">
        <v>2</v>
      </c>
      <c r="E773" s="3" t="s">
        <v>11</v>
      </c>
      <c r="F773" s="3" t="s">
        <v>9</v>
      </c>
      <c r="G773">
        <v>11150.78</v>
      </c>
    </row>
    <row r="774" spans="1:7" x14ac:dyDescent="0.25">
      <c r="A774" t="s">
        <v>32</v>
      </c>
      <c r="B774" s="3" t="s">
        <v>7</v>
      </c>
      <c r="C774" t="s">
        <v>28</v>
      </c>
      <c r="D774">
        <v>0</v>
      </c>
      <c r="E774" s="3" t="s">
        <v>11</v>
      </c>
      <c r="F774" s="3" t="s">
        <v>14</v>
      </c>
      <c r="G774">
        <v>12797.21</v>
      </c>
    </row>
    <row r="775" spans="1:7" x14ac:dyDescent="0.25">
      <c r="A775" t="s">
        <v>17</v>
      </c>
      <c r="B775" s="3" t="s">
        <v>7</v>
      </c>
      <c r="C775" t="s">
        <v>18</v>
      </c>
      <c r="D775">
        <v>0</v>
      </c>
      <c r="E775" s="3" t="s">
        <v>8</v>
      </c>
      <c r="F775" s="3" t="s">
        <v>13</v>
      </c>
      <c r="G775">
        <v>17748.509999999998</v>
      </c>
    </row>
    <row r="776" spans="1:7" x14ac:dyDescent="0.25">
      <c r="A776" t="s">
        <v>32</v>
      </c>
      <c r="B776" s="3" t="s">
        <v>10</v>
      </c>
      <c r="C776" t="s">
        <v>20</v>
      </c>
      <c r="D776">
        <v>2</v>
      </c>
      <c r="E776" s="3" t="s">
        <v>11</v>
      </c>
      <c r="F776" s="3" t="s">
        <v>13</v>
      </c>
      <c r="G776">
        <v>7261.74</v>
      </c>
    </row>
    <row r="777" spans="1:7" x14ac:dyDescent="0.25">
      <c r="A777" t="s">
        <v>30</v>
      </c>
      <c r="B777" s="3" t="s">
        <v>10</v>
      </c>
      <c r="C777" t="s">
        <v>20</v>
      </c>
      <c r="D777">
        <v>3</v>
      </c>
      <c r="E777" s="3" t="s">
        <v>11</v>
      </c>
      <c r="F777" s="3" t="s">
        <v>12</v>
      </c>
      <c r="G777">
        <v>10560.49</v>
      </c>
    </row>
    <row r="778" spans="1:7" x14ac:dyDescent="0.25">
      <c r="A778" t="s">
        <v>25</v>
      </c>
      <c r="B778" s="3" t="s">
        <v>10</v>
      </c>
      <c r="C778" t="s">
        <v>20</v>
      </c>
      <c r="D778">
        <v>2</v>
      </c>
      <c r="E778" s="3" t="s">
        <v>11</v>
      </c>
      <c r="F778" s="3" t="s">
        <v>13</v>
      </c>
      <c r="G778">
        <v>6986.7</v>
      </c>
    </row>
    <row r="779" spans="1:7" x14ac:dyDescent="0.25">
      <c r="A779" t="s">
        <v>32</v>
      </c>
      <c r="B779" s="3" t="s">
        <v>10</v>
      </c>
      <c r="C779" t="s">
        <v>28</v>
      </c>
      <c r="D779">
        <v>0</v>
      </c>
      <c r="E779" s="3" t="s">
        <v>11</v>
      </c>
      <c r="F779" s="3" t="s">
        <v>14</v>
      </c>
      <c r="G779">
        <v>7448.4</v>
      </c>
    </row>
    <row r="780" spans="1:7" x14ac:dyDescent="0.25">
      <c r="A780" t="s">
        <v>22</v>
      </c>
      <c r="B780" s="3" t="s">
        <v>10</v>
      </c>
      <c r="C780" t="s">
        <v>20</v>
      </c>
      <c r="D780">
        <v>3</v>
      </c>
      <c r="E780" s="3" t="s">
        <v>11</v>
      </c>
      <c r="F780" s="3" t="s">
        <v>12</v>
      </c>
      <c r="G780">
        <v>5934.38</v>
      </c>
    </row>
    <row r="781" spans="1:7" x14ac:dyDescent="0.25">
      <c r="A781" t="s">
        <v>30</v>
      </c>
      <c r="B781" s="3" t="s">
        <v>10</v>
      </c>
      <c r="C781" t="s">
        <v>18</v>
      </c>
      <c r="D781">
        <v>0</v>
      </c>
      <c r="E781" s="3" t="s">
        <v>11</v>
      </c>
      <c r="F781" s="3" t="s">
        <v>13</v>
      </c>
      <c r="G781">
        <v>9869.81</v>
      </c>
    </row>
    <row r="782" spans="1:7" x14ac:dyDescent="0.25">
      <c r="A782" t="s">
        <v>21</v>
      </c>
      <c r="B782" s="3" t="s">
        <v>10</v>
      </c>
      <c r="C782" t="s">
        <v>23</v>
      </c>
      <c r="D782">
        <v>3</v>
      </c>
      <c r="E782" s="3" t="s">
        <v>8</v>
      </c>
      <c r="F782" s="3" t="s">
        <v>9</v>
      </c>
      <c r="G782">
        <v>18259.22</v>
      </c>
    </row>
    <row r="783" spans="1:7" x14ac:dyDescent="0.25">
      <c r="A783" t="s">
        <v>19</v>
      </c>
      <c r="B783" s="3" t="s">
        <v>10</v>
      </c>
      <c r="C783" t="s">
        <v>29</v>
      </c>
      <c r="D783">
        <v>0</v>
      </c>
      <c r="E783" s="3" t="s">
        <v>11</v>
      </c>
      <c r="F783" s="3" t="s">
        <v>12</v>
      </c>
      <c r="G783">
        <v>1146.8</v>
      </c>
    </row>
    <row r="784" spans="1:7" x14ac:dyDescent="0.25">
      <c r="A784" t="s">
        <v>30</v>
      </c>
      <c r="B784" s="3" t="s">
        <v>10</v>
      </c>
      <c r="C784" t="s">
        <v>28</v>
      </c>
      <c r="D784">
        <v>1</v>
      </c>
      <c r="E784" s="3" t="s">
        <v>11</v>
      </c>
      <c r="F784" s="3" t="s">
        <v>12</v>
      </c>
      <c r="G784">
        <v>9386.16</v>
      </c>
    </row>
    <row r="785" spans="1:7" x14ac:dyDescent="0.25">
      <c r="A785" t="s">
        <v>24</v>
      </c>
      <c r="B785" s="3" t="s">
        <v>7</v>
      </c>
      <c r="C785" t="s">
        <v>18</v>
      </c>
      <c r="D785">
        <v>1</v>
      </c>
      <c r="E785" s="3" t="s">
        <v>8</v>
      </c>
      <c r="F785" s="3" t="s">
        <v>9</v>
      </c>
      <c r="G785">
        <v>24520.26</v>
      </c>
    </row>
    <row r="786" spans="1:7" x14ac:dyDescent="0.25">
      <c r="A786" t="s">
        <v>22</v>
      </c>
      <c r="B786" s="3" t="s">
        <v>7</v>
      </c>
      <c r="C786" t="s">
        <v>18</v>
      </c>
      <c r="D786">
        <v>1</v>
      </c>
      <c r="E786" s="3" t="s">
        <v>11</v>
      </c>
      <c r="F786" s="3" t="s">
        <v>12</v>
      </c>
      <c r="G786">
        <v>4350.51</v>
      </c>
    </row>
    <row r="787" spans="1:7" x14ac:dyDescent="0.25">
      <c r="A787" t="s">
        <v>22</v>
      </c>
      <c r="B787" s="3" t="s">
        <v>7</v>
      </c>
      <c r="C787" t="s">
        <v>18</v>
      </c>
      <c r="D787">
        <v>3</v>
      </c>
      <c r="E787" s="3" t="s">
        <v>11</v>
      </c>
      <c r="F787" s="3" t="s">
        <v>9</v>
      </c>
      <c r="G787">
        <v>6414.18</v>
      </c>
    </row>
    <row r="788" spans="1:7" x14ac:dyDescent="0.25">
      <c r="A788" t="s">
        <v>26</v>
      </c>
      <c r="B788" s="3" t="s">
        <v>10</v>
      </c>
      <c r="C788" t="s">
        <v>28</v>
      </c>
      <c r="D788">
        <v>0</v>
      </c>
      <c r="E788" s="3" t="s">
        <v>11</v>
      </c>
      <c r="F788" s="3" t="s">
        <v>14</v>
      </c>
      <c r="G788">
        <v>12741.17</v>
      </c>
    </row>
    <row r="789" spans="1:7" x14ac:dyDescent="0.25">
      <c r="A789" t="s">
        <v>17</v>
      </c>
      <c r="B789" s="3" t="s">
        <v>10</v>
      </c>
      <c r="C789" t="s">
        <v>28</v>
      </c>
      <c r="D789">
        <v>0</v>
      </c>
      <c r="E789" s="3" t="s">
        <v>11</v>
      </c>
      <c r="F789" s="3" t="s">
        <v>13</v>
      </c>
      <c r="G789">
        <v>1917.32</v>
      </c>
    </row>
    <row r="790" spans="1:7" x14ac:dyDescent="0.25">
      <c r="A790" t="s">
        <v>21</v>
      </c>
      <c r="B790" s="3" t="s">
        <v>10</v>
      </c>
      <c r="C790" t="s">
        <v>23</v>
      </c>
      <c r="D790">
        <v>3</v>
      </c>
      <c r="E790" s="3" t="s">
        <v>11</v>
      </c>
      <c r="F790" s="3" t="s">
        <v>14</v>
      </c>
      <c r="G790">
        <v>5209.58</v>
      </c>
    </row>
    <row r="791" spans="1:7" x14ac:dyDescent="0.25">
      <c r="A791" t="s">
        <v>27</v>
      </c>
      <c r="B791" s="3" t="s">
        <v>7</v>
      </c>
      <c r="C791" t="s">
        <v>20</v>
      </c>
      <c r="D791">
        <v>0</v>
      </c>
      <c r="E791" s="3" t="s">
        <v>11</v>
      </c>
      <c r="F791" s="3" t="s">
        <v>12</v>
      </c>
      <c r="G791">
        <v>13457.96</v>
      </c>
    </row>
    <row r="792" spans="1:7" x14ac:dyDescent="0.25">
      <c r="A792" t="s">
        <v>25</v>
      </c>
      <c r="B792" s="3" t="s">
        <v>7</v>
      </c>
      <c r="C792" t="s">
        <v>29</v>
      </c>
      <c r="D792">
        <v>0</v>
      </c>
      <c r="E792" s="3" t="s">
        <v>11</v>
      </c>
      <c r="F792" s="3" t="s">
        <v>12</v>
      </c>
      <c r="G792">
        <v>5662.22</v>
      </c>
    </row>
    <row r="793" spans="1:7" x14ac:dyDescent="0.25">
      <c r="A793" t="s">
        <v>17</v>
      </c>
      <c r="B793" s="3" t="s">
        <v>10</v>
      </c>
      <c r="C793" t="s">
        <v>18</v>
      </c>
      <c r="D793">
        <v>0</v>
      </c>
      <c r="E793" s="3" t="s">
        <v>11</v>
      </c>
      <c r="F793" s="3" t="s">
        <v>9</v>
      </c>
      <c r="G793">
        <v>1252.4100000000001</v>
      </c>
    </row>
    <row r="794" spans="1:7" x14ac:dyDescent="0.25">
      <c r="A794" t="s">
        <v>17</v>
      </c>
      <c r="B794" s="3" t="s">
        <v>7</v>
      </c>
      <c r="C794" t="s">
        <v>23</v>
      </c>
      <c r="D794">
        <v>0</v>
      </c>
      <c r="E794" s="3" t="s">
        <v>11</v>
      </c>
      <c r="F794" s="3" t="s">
        <v>14</v>
      </c>
      <c r="G794">
        <v>2731.91</v>
      </c>
    </row>
    <row r="795" spans="1:7" x14ac:dyDescent="0.25">
      <c r="A795" t="s">
        <v>30</v>
      </c>
      <c r="B795" s="3" t="s">
        <v>10</v>
      </c>
      <c r="C795" t="s">
        <v>23</v>
      </c>
      <c r="D795">
        <v>0</v>
      </c>
      <c r="E795" s="3" t="s">
        <v>8</v>
      </c>
      <c r="F795" s="3" t="s">
        <v>12</v>
      </c>
      <c r="G795">
        <v>21195.82</v>
      </c>
    </row>
    <row r="796" spans="1:7" x14ac:dyDescent="0.25">
      <c r="A796" t="s">
        <v>25</v>
      </c>
      <c r="B796" s="3" t="s">
        <v>7</v>
      </c>
      <c r="C796" t="s">
        <v>20</v>
      </c>
      <c r="D796">
        <v>2</v>
      </c>
      <c r="E796" s="3" t="s">
        <v>11</v>
      </c>
      <c r="F796" s="3" t="s">
        <v>13</v>
      </c>
      <c r="G796">
        <v>7209.49</v>
      </c>
    </row>
    <row r="797" spans="1:7" x14ac:dyDescent="0.25">
      <c r="A797" t="s">
        <v>21</v>
      </c>
      <c r="B797" s="3" t="s">
        <v>10</v>
      </c>
      <c r="C797" t="s">
        <v>18</v>
      </c>
      <c r="D797">
        <v>0</v>
      </c>
      <c r="E797" s="3" t="s">
        <v>8</v>
      </c>
      <c r="F797" s="3" t="s">
        <v>13</v>
      </c>
      <c r="G797">
        <v>18310.740000000002</v>
      </c>
    </row>
    <row r="798" spans="1:7" x14ac:dyDescent="0.25">
      <c r="A798" t="s">
        <v>21</v>
      </c>
      <c r="B798" s="3" t="s">
        <v>10</v>
      </c>
      <c r="C798" t="s">
        <v>29</v>
      </c>
      <c r="D798">
        <v>2</v>
      </c>
      <c r="E798" s="3" t="s">
        <v>11</v>
      </c>
      <c r="F798" s="3" t="s">
        <v>12</v>
      </c>
      <c r="G798">
        <v>4266.17</v>
      </c>
    </row>
    <row r="799" spans="1:7" x14ac:dyDescent="0.25">
      <c r="A799" t="s">
        <v>21</v>
      </c>
      <c r="B799" s="3" t="s">
        <v>7</v>
      </c>
      <c r="C799" t="s">
        <v>23</v>
      </c>
      <c r="D799">
        <v>1</v>
      </c>
      <c r="E799" s="3" t="s">
        <v>11</v>
      </c>
      <c r="F799" s="3" t="s">
        <v>14</v>
      </c>
      <c r="G799">
        <v>4719.5200000000004</v>
      </c>
    </row>
    <row r="800" spans="1:7" x14ac:dyDescent="0.25">
      <c r="A800" t="s">
        <v>26</v>
      </c>
      <c r="B800" s="3" t="s">
        <v>7</v>
      </c>
      <c r="C800" t="s">
        <v>20</v>
      </c>
      <c r="D800">
        <v>0</v>
      </c>
      <c r="E800" s="3" t="s">
        <v>11</v>
      </c>
      <c r="F800" s="3" t="s">
        <v>9</v>
      </c>
      <c r="G800">
        <v>11848.14</v>
      </c>
    </row>
    <row r="801" spans="1:7" x14ac:dyDescent="0.25">
      <c r="A801" t="s">
        <v>22</v>
      </c>
      <c r="B801" s="3" t="s">
        <v>10</v>
      </c>
      <c r="C801" t="s">
        <v>23</v>
      </c>
      <c r="D801">
        <v>0</v>
      </c>
      <c r="E801" s="3" t="s">
        <v>8</v>
      </c>
      <c r="F801" s="3" t="s">
        <v>14</v>
      </c>
      <c r="G801">
        <v>17904.53</v>
      </c>
    </row>
    <row r="802" spans="1:7" x14ac:dyDescent="0.25">
      <c r="A802" t="s">
        <v>32</v>
      </c>
      <c r="B802" s="3" t="s">
        <v>7</v>
      </c>
      <c r="C802" t="s">
        <v>18</v>
      </c>
      <c r="D802">
        <v>1</v>
      </c>
      <c r="E802" s="3" t="s">
        <v>11</v>
      </c>
      <c r="F802" s="3" t="s">
        <v>12</v>
      </c>
      <c r="G802">
        <v>7046.72</v>
      </c>
    </row>
    <row r="803" spans="1:7" x14ac:dyDescent="0.25">
      <c r="A803" t="s">
        <v>27</v>
      </c>
      <c r="B803" s="3" t="s">
        <v>7</v>
      </c>
      <c r="C803" t="s">
        <v>28</v>
      </c>
      <c r="D803">
        <v>0</v>
      </c>
      <c r="E803" s="3" t="s">
        <v>11</v>
      </c>
      <c r="F803" s="3" t="s">
        <v>12</v>
      </c>
      <c r="G803">
        <v>14313.85</v>
      </c>
    </row>
    <row r="804" spans="1:7" x14ac:dyDescent="0.25">
      <c r="A804" t="s">
        <v>17</v>
      </c>
      <c r="B804" s="3" t="s">
        <v>10</v>
      </c>
      <c r="C804" t="s">
        <v>23</v>
      </c>
      <c r="D804">
        <v>1</v>
      </c>
      <c r="E804" s="3" t="s">
        <v>11</v>
      </c>
      <c r="F804" s="3" t="s">
        <v>9</v>
      </c>
      <c r="G804">
        <v>2103.08</v>
      </c>
    </row>
    <row r="805" spans="1:7" x14ac:dyDescent="0.25">
      <c r="A805" t="s">
        <v>19</v>
      </c>
      <c r="B805" s="3" t="s">
        <v>7</v>
      </c>
      <c r="C805" t="s">
        <v>29</v>
      </c>
      <c r="D805">
        <v>0</v>
      </c>
      <c r="E805" s="3" t="s">
        <v>8</v>
      </c>
      <c r="F805" s="3" t="s">
        <v>12</v>
      </c>
      <c r="G805">
        <v>38792.69</v>
      </c>
    </row>
    <row r="806" spans="1:7" x14ac:dyDescent="0.25">
      <c r="A806" t="s">
        <v>17</v>
      </c>
      <c r="B806" s="3" t="s">
        <v>10</v>
      </c>
      <c r="C806" t="s">
        <v>18</v>
      </c>
      <c r="D806">
        <v>0</v>
      </c>
      <c r="E806" s="3" t="s">
        <v>11</v>
      </c>
      <c r="F806" s="3" t="s">
        <v>12</v>
      </c>
      <c r="G806">
        <v>1815.88</v>
      </c>
    </row>
    <row r="807" spans="1:7" x14ac:dyDescent="0.25">
      <c r="A807" t="s">
        <v>32</v>
      </c>
      <c r="B807" s="3" t="s">
        <v>7</v>
      </c>
      <c r="C807" t="s">
        <v>28</v>
      </c>
      <c r="D807">
        <v>0</v>
      </c>
      <c r="E807" s="3" t="s">
        <v>11</v>
      </c>
      <c r="F807" s="3" t="s">
        <v>13</v>
      </c>
      <c r="G807">
        <v>7731.86</v>
      </c>
    </row>
    <row r="808" spans="1:7" x14ac:dyDescent="0.25">
      <c r="A808" t="s">
        <v>25</v>
      </c>
      <c r="B808" s="3" t="s">
        <v>7</v>
      </c>
      <c r="C808" t="s">
        <v>29</v>
      </c>
      <c r="D808">
        <v>1</v>
      </c>
      <c r="E808" s="3" t="s">
        <v>11</v>
      </c>
      <c r="F808" s="3" t="s">
        <v>13</v>
      </c>
      <c r="G808">
        <v>28476.73</v>
      </c>
    </row>
    <row r="809" spans="1:7" x14ac:dyDescent="0.25">
      <c r="A809" t="s">
        <v>17</v>
      </c>
      <c r="B809" s="3" t="s">
        <v>7</v>
      </c>
      <c r="C809" t="s">
        <v>28</v>
      </c>
      <c r="D809">
        <v>0</v>
      </c>
      <c r="E809" s="3" t="s">
        <v>11</v>
      </c>
      <c r="F809" s="3" t="s">
        <v>13</v>
      </c>
      <c r="G809">
        <v>2136.88</v>
      </c>
    </row>
    <row r="810" spans="1:7" x14ac:dyDescent="0.25">
      <c r="A810" t="s">
        <v>19</v>
      </c>
      <c r="B810" s="3" t="s">
        <v>10</v>
      </c>
      <c r="C810" t="s">
        <v>20</v>
      </c>
      <c r="D810">
        <v>0</v>
      </c>
      <c r="E810" s="3" t="s">
        <v>11</v>
      </c>
      <c r="F810" s="3" t="s">
        <v>12</v>
      </c>
      <c r="G810">
        <v>1131.51</v>
      </c>
    </row>
    <row r="811" spans="1:7" x14ac:dyDescent="0.25">
      <c r="A811" t="s">
        <v>17</v>
      </c>
      <c r="B811" s="3" t="s">
        <v>10</v>
      </c>
      <c r="C811" t="s">
        <v>18</v>
      </c>
      <c r="D811">
        <v>1</v>
      </c>
      <c r="E811" s="3" t="s">
        <v>11</v>
      </c>
      <c r="F811" s="3" t="s">
        <v>14</v>
      </c>
      <c r="G811">
        <v>3309.79</v>
      </c>
    </row>
    <row r="812" spans="1:7" x14ac:dyDescent="0.25">
      <c r="A812" t="s">
        <v>24</v>
      </c>
      <c r="B812" s="3" t="s">
        <v>7</v>
      </c>
      <c r="C812" t="s">
        <v>20</v>
      </c>
      <c r="D812">
        <v>3</v>
      </c>
      <c r="E812" s="3" t="s">
        <v>11</v>
      </c>
      <c r="F812" s="3" t="s">
        <v>9</v>
      </c>
      <c r="G812">
        <v>9414.92</v>
      </c>
    </row>
    <row r="813" spans="1:7" x14ac:dyDescent="0.25">
      <c r="A813" t="s">
        <v>22</v>
      </c>
      <c r="B813" s="3" t="s">
        <v>7</v>
      </c>
      <c r="C813" t="s">
        <v>29</v>
      </c>
      <c r="D813">
        <v>3</v>
      </c>
      <c r="E813" s="3" t="s">
        <v>11</v>
      </c>
      <c r="F813" s="3" t="s">
        <v>13</v>
      </c>
      <c r="G813">
        <v>6360.99</v>
      </c>
    </row>
    <row r="814" spans="1:7" x14ac:dyDescent="0.25">
      <c r="A814" t="s">
        <v>30</v>
      </c>
      <c r="B814" s="3" t="s">
        <v>10</v>
      </c>
      <c r="C814" t="s">
        <v>23</v>
      </c>
      <c r="D814">
        <v>2</v>
      </c>
      <c r="E814" s="3" t="s">
        <v>11</v>
      </c>
      <c r="F814" s="3" t="s">
        <v>12</v>
      </c>
      <c r="G814">
        <v>11013.71</v>
      </c>
    </row>
    <row r="815" spans="1:7" x14ac:dyDescent="0.25">
      <c r="A815" t="s">
        <v>21</v>
      </c>
      <c r="B815" s="3" t="s">
        <v>10</v>
      </c>
      <c r="C815" t="s">
        <v>23</v>
      </c>
      <c r="D815">
        <v>2</v>
      </c>
      <c r="E815" s="3" t="s">
        <v>11</v>
      </c>
      <c r="F815" s="3" t="s">
        <v>14</v>
      </c>
      <c r="G815">
        <v>4428.8900000000003</v>
      </c>
    </row>
    <row r="816" spans="1:7" x14ac:dyDescent="0.25">
      <c r="A816" t="s">
        <v>25</v>
      </c>
      <c r="B816" s="3" t="s">
        <v>10</v>
      </c>
      <c r="C816" t="s">
        <v>20</v>
      </c>
      <c r="D816">
        <v>2</v>
      </c>
      <c r="E816" s="3" t="s">
        <v>11</v>
      </c>
      <c r="F816" s="3" t="s">
        <v>12</v>
      </c>
      <c r="G816">
        <v>5584.31</v>
      </c>
    </row>
    <row r="817" spans="1:7" x14ac:dyDescent="0.25">
      <c r="A817" t="s">
        <v>17</v>
      </c>
      <c r="B817" s="3" t="s">
        <v>7</v>
      </c>
      <c r="C817" t="s">
        <v>20</v>
      </c>
      <c r="D817">
        <v>0</v>
      </c>
      <c r="E817" s="3" t="s">
        <v>11</v>
      </c>
      <c r="F817" s="3" t="s">
        <v>12</v>
      </c>
      <c r="G817">
        <v>1877.93</v>
      </c>
    </row>
    <row r="818" spans="1:7" x14ac:dyDescent="0.25">
      <c r="A818" t="s">
        <v>17</v>
      </c>
      <c r="B818" s="3" t="s">
        <v>7</v>
      </c>
      <c r="C818" t="s">
        <v>23</v>
      </c>
      <c r="D818">
        <v>0</v>
      </c>
      <c r="E818" s="3" t="s">
        <v>11</v>
      </c>
      <c r="F818" s="3" t="s">
        <v>13</v>
      </c>
      <c r="G818">
        <v>2842.76</v>
      </c>
    </row>
    <row r="819" spans="1:7" x14ac:dyDescent="0.25">
      <c r="A819" t="s">
        <v>17</v>
      </c>
      <c r="B819" s="3" t="s">
        <v>10</v>
      </c>
      <c r="C819" t="s">
        <v>28</v>
      </c>
      <c r="D819">
        <v>3</v>
      </c>
      <c r="E819" s="3" t="s">
        <v>11</v>
      </c>
      <c r="F819" s="3" t="s">
        <v>9</v>
      </c>
      <c r="G819">
        <v>3597.6</v>
      </c>
    </row>
    <row r="820" spans="1:7" x14ac:dyDescent="0.25">
      <c r="A820" t="s">
        <v>24</v>
      </c>
      <c r="B820" s="3" t="s">
        <v>7</v>
      </c>
      <c r="C820" t="s">
        <v>18</v>
      </c>
      <c r="D820">
        <v>1</v>
      </c>
      <c r="E820" s="3" t="s">
        <v>8</v>
      </c>
      <c r="F820" s="3" t="s">
        <v>14</v>
      </c>
      <c r="G820">
        <v>23401.31</v>
      </c>
    </row>
    <row r="821" spans="1:7" x14ac:dyDescent="0.25">
      <c r="A821" t="s">
        <v>22</v>
      </c>
      <c r="B821" s="3" t="s">
        <v>7</v>
      </c>
      <c r="C821" t="s">
        <v>28</v>
      </c>
      <c r="D821">
        <v>0</v>
      </c>
      <c r="E821" s="3" t="s">
        <v>8</v>
      </c>
      <c r="F821" s="3" t="s">
        <v>13</v>
      </c>
      <c r="G821">
        <v>55135.4</v>
      </c>
    </row>
    <row r="822" spans="1:7" x14ac:dyDescent="0.25">
      <c r="A822" t="s">
        <v>32</v>
      </c>
      <c r="B822" s="3" t="s">
        <v>10</v>
      </c>
      <c r="C822" t="s">
        <v>20</v>
      </c>
      <c r="D822">
        <v>1</v>
      </c>
      <c r="E822" s="3" t="s">
        <v>11</v>
      </c>
      <c r="F822" s="3" t="s">
        <v>9</v>
      </c>
      <c r="G822">
        <v>7445.92</v>
      </c>
    </row>
    <row r="823" spans="1:7" x14ac:dyDescent="0.25">
      <c r="A823" t="s">
        <v>21</v>
      </c>
      <c r="B823" s="3" t="s">
        <v>10</v>
      </c>
      <c r="C823" t="s">
        <v>31</v>
      </c>
      <c r="D823">
        <v>0</v>
      </c>
      <c r="E823" s="3" t="s">
        <v>11</v>
      </c>
      <c r="F823" s="3" t="s">
        <v>13</v>
      </c>
      <c r="G823">
        <v>2680.95</v>
      </c>
    </row>
    <row r="824" spans="1:7" x14ac:dyDescent="0.25">
      <c r="A824" t="s">
        <v>19</v>
      </c>
      <c r="B824" s="3" t="s">
        <v>7</v>
      </c>
      <c r="C824" t="s">
        <v>20</v>
      </c>
      <c r="D824">
        <v>0</v>
      </c>
      <c r="E824" s="3" t="s">
        <v>11</v>
      </c>
      <c r="F824" s="3" t="s">
        <v>12</v>
      </c>
      <c r="G824">
        <v>1621.88</v>
      </c>
    </row>
    <row r="825" spans="1:7" x14ac:dyDescent="0.25">
      <c r="A825" t="s">
        <v>32</v>
      </c>
      <c r="B825" s="3" t="s">
        <v>7</v>
      </c>
      <c r="C825" t="s">
        <v>18</v>
      </c>
      <c r="D825">
        <v>2</v>
      </c>
      <c r="E825" s="3" t="s">
        <v>11</v>
      </c>
      <c r="F825" s="3" t="s">
        <v>12</v>
      </c>
      <c r="G825">
        <v>8219.2000000000007</v>
      </c>
    </row>
    <row r="826" spans="1:7" x14ac:dyDescent="0.25">
      <c r="A826" t="s">
        <v>26</v>
      </c>
      <c r="B826" s="3" t="s">
        <v>10</v>
      </c>
      <c r="C826" t="s">
        <v>23</v>
      </c>
      <c r="D826">
        <v>0</v>
      </c>
      <c r="E826" s="3" t="s">
        <v>11</v>
      </c>
      <c r="F826" s="3" t="s">
        <v>13</v>
      </c>
      <c r="G826">
        <v>12523.6</v>
      </c>
    </row>
    <row r="827" spans="1:7" x14ac:dyDescent="0.25">
      <c r="A827" t="s">
        <v>27</v>
      </c>
      <c r="B827" s="3" t="s">
        <v>7</v>
      </c>
      <c r="C827" t="s">
        <v>20</v>
      </c>
      <c r="D827">
        <v>2</v>
      </c>
      <c r="E827" s="3" t="s">
        <v>11</v>
      </c>
      <c r="F827" s="3" t="s">
        <v>14</v>
      </c>
      <c r="G827">
        <v>16069.08</v>
      </c>
    </row>
    <row r="828" spans="1:7" x14ac:dyDescent="0.25">
      <c r="A828" t="s">
        <v>26</v>
      </c>
      <c r="B828" s="3" t="s">
        <v>10</v>
      </c>
      <c r="C828" t="s">
        <v>20</v>
      </c>
      <c r="D828">
        <v>2</v>
      </c>
      <c r="E828" s="3" t="s">
        <v>8</v>
      </c>
      <c r="F828" s="3" t="s">
        <v>12</v>
      </c>
      <c r="G828">
        <v>43813.87</v>
      </c>
    </row>
    <row r="829" spans="1:7" x14ac:dyDescent="0.25">
      <c r="A829" t="s">
        <v>25</v>
      </c>
      <c r="B829" s="3" t="s">
        <v>10</v>
      </c>
      <c r="C829" t="s">
        <v>18</v>
      </c>
      <c r="D829">
        <v>1</v>
      </c>
      <c r="E829" s="3" t="s">
        <v>8</v>
      </c>
      <c r="F829" s="3" t="s">
        <v>14</v>
      </c>
      <c r="G829">
        <v>20773.63</v>
      </c>
    </row>
    <row r="830" spans="1:7" x14ac:dyDescent="0.25">
      <c r="A830" t="s">
        <v>32</v>
      </c>
      <c r="B830" s="3" t="s">
        <v>10</v>
      </c>
      <c r="C830" t="s">
        <v>20</v>
      </c>
      <c r="D830">
        <v>3</v>
      </c>
      <c r="E830" s="3" t="s">
        <v>8</v>
      </c>
      <c r="F830" s="3" t="s">
        <v>14</v>
      </c>
      <c r="G830">
        <v>39597.410000000003</v>
      </c>
    </row>
    <row r="831" spans="1:7" x14ac:dyDescent="0.25">
      <c r="A831" t="s">
        <v>25</v>
      </c>
      <c r="B831" s="3" t="s">
        <v>10</v>
      </c>
      <c r="C831" t="s">
        <v>23</v>
      </c>
      <c r="D831">
        <v>1</v>
      </c>
      <c r="E831" s="3" t="s">
        <v>11</v>
      </c>
      <c r="F831" s="3" t="s">
        <v>13</v>
      </c>
      <c r="G831">
        <v>6117.49</v>
      </c>
    </row>
    <row r="832" spans="1:7" x14ac:dyDescent="0.25">
      <c r="A832" t="s">
        <v>27</v>
      </c>
      <c r="B832" s="3" t="s">
        <v>10</v>
      </c>
      <c r="C832" t="s">
        <v>20</v>
      </c>
      <c r="D832">
        <v>0</v>
      </c>
      <c r="E832" s="3" t="s">
        <v>11</v>
      </c>
      <c r="F832" s="3" t="s">
        <v>9</v>
      </c>
      <c r="G832">
        <v>13393.76</v>
      </c>
    </row>
    <row r="833" spans="1:7" x14ac:dyDescent="0.25">
      <c r="A833" t="s">
        <v>25</v>
      </c>
      <c r="B833" s="3" t="s">
        <v>7</v>
      </c>
      <c r="C833" t="s">
        <v>18</v>
      </c>
      <c r="D833">
        <v>0</v>
      </c>
      <c r="E833" s="3" t="s">
        <v>11</v>
      </c>
      <c r="F833" s="3" t="s">
        <v>13</v>
      </c>
      <c r="G833">
        <v>5266.37</v>
      </c>
    </row>
    <row r="834" spans="1:7" x14ac:dyDescent="0.25">
      <c r="A834" t="s">
        <v>21</v>
      </c>
      <c r="B834" s="3" t="s">
        <v>7</v>
      </c>
      <c r="C834" t="s">
        <v>23</v>
      </c>
      <c r="D834">
        <v>2</v>
      </c>
      <c r="E834" s="3" t="s">
        <v>11</v>
      </c>
      <c r="F834" s="3" t="s">
        <v>13</v>
      </c>
      <c r="G834">
        <v>4719.74</v>
      </c>
    </row>
    <row r="835" spans="1:7" x14ac:dyDescent="0.25">
      <c r="A835" t="s">
        <v>26</v>
      </c>
      <c r="B835" s="3" t="s">
        <v>10</v>
      </c>
      <c r="C835" t="s">
        <v>20</v>
      </c>
      <c r="D835">
        <v>0</v>
      </c>
      <c r="E835" s="3" t="s">
        <v>11</v>
      </c>
      <c r="F835" s="3" t="s">
        <v>13</v>
      </c>
      <c r="G835">
        <v>11743.93</v>
      </c>
    </row>
    <row r="836" spans="1:7" x14ac:dyDescent="0.25">
      <c r="A836" t="s">
        <v>25</v>
      </c>
      <c r="B836" s="3" t="s">
        <v>10</v>
      </c>
      <c r="C836" t="s">
        <v>20</v>
      </c>
      <c r="D836">
        <v>1</v>
      </c>
      <c r="E836" s="3" t="s">
        <v>11</v>
      </c>
      <c r="F836" s="3" t="s">
        <v>13</v>
      </c>
      <c r="G836">
        <v>5377.46</v>
      </c>
    </row>
    <row r="837" spans="1:7" x14ac:dyDescent="0.25">
      <c r="A837" t="s">
        <v>32</v>
      </c>
      <c r="B837" s="3" t="s">
        <v>10</v>
      </c>
      <c r="C837" t="s">
        <v>28</v>
      </c>
      <c r="D837">
        <v>2</v>
      </c>
      <c r="E837" s="3" t="s">
        <v>11</v>
      </c>
      <c r="F837" s="3" t="s">
        <v>12</v>
      </c>
      <c r="G837">
        <v>7160.33</v>
      </c>
    </row>
    <row r="838" spans="1:7" x14ac:dyDescent="0.25">
      <c r="A838" t="s">
        <v>25</v>
      </c>
      <c r="B838" s="3" t="s">
        <v>10</v>
      </c>
      <c r="C838" t="s">
        <v>20</v>
      </c>
      <c r="D838">
        <v>0</v>
      </c>
      <c r="E838" s="3" t="s">
        <v>11</v>
      </c>
      <c r="F838" s="3" t="s">
        <v>9</v>
      </c>
      <c r="G838">
        <v>4402.2299999999996</v>
      </c>
    </row>
    <row r="839" spans="1:7" x14ac:dyDescent="0.25">
      <c r="A839" t="s">
        <v>26</v>
      </c>
      <c r="B839" s="3" t="s">
        <v>7</v>
      </c>
      <c r="C839" t="s">
        <v>18</v>
      </c>
      <c r="D839">
        <v>0</v>
      </c>
      <c r="E839" s="3" t="s">
        <v>11</v>
      </c>
      <c r="F839" s="3" t="s">
        <v>14</v>
      </c>
      <c r="G839">
        <v>11657.72</v>
      </c>
    </row>
    <row r="840" spans="1:7" x14ac:dyDescent="0.25">
      <c r="A840" t="s">
        <v>22</v>
      </c>
      <c r="B840" s="3" t="s">
        <v>7</v>
      </c>
      <c r="C840" t="s">
        <v>23</v>
      </c>
      <c r="D840">
        <v>2</v>
      </c>
      <c r="E840" s="3" t="s">
        <v>11</v>
      </c>
      <c r="F840" s="3" t="s">
        <v>14</v>
      </c>
      <c r="G840">
        <v>6402.29</v>
      </c>
    </row>
    <row r="841" spans="1:7" x14ac:dyDescent="0.25">
      <c r="A841" t="s">
        <v>26</v>
      </c>
      <c r="B841" s="3" t="s">
        <v>7</v>
      </c>
      <c r="C841" t="s">
        <v>20</v>
      </c>
      <c r="D841">
        <v>0</v>
      </c>
      <c r="E841" s="3" t="s">
        <v>11</v>
      </c>
      <c r="F841" s="3" t="s">
        <v>13</v>
      </c>
      <c r="G841">
        <v>12622.18</v>
      </c>
    </row>
    <row r="842" spans="1:7" x14ac:dyDescent="0.25">
      <c r="A842" t="s">
        <v>17</v>
      </c>
      <c r="B842" s="3" t="s">
        <v>10</v>
      </c>
      <c r="C842" t="s">
        <v>20</v>
      </c>
      <c r="D842">
        <v>0</v>
      </c>
      <c r="E842" s="3" t="s">
        <v>11</v>
      </c>
      <c r="F842" s="3" t="s">
        <v>9</v>
      </c>
      <c r="G842">
        <v>1526.31</v>
      </c>
    </row>
    <row r="843" spans="1:7" x14ac:dyDescent="0.25">
      <c r="A843" t="s">
        <v>26</v>
      </c>
      <c r="B843" s="3" t="s">
        <v>10</v>
      </c>
      <c r="C843" t="s">
        <v>23</v>
      </c>
      <c r="D843">
        <v>0</v>
      </c>
      <c r="E843" s="3" t="s">
        <v>11</v>
      </c>
      <c r="F843" s="3" t="s">
        <v>14</v>
      </c>
      <c r="G843">
        <v>12323.94</v>
      </c>
    </row>
    <row r="844" spans="1:7" x14ac:dyDescent="0.25">
      <c r="A844" t="s">
        <v>17</v>
      </c>
      <c r="B844" s="3" t="s">
        <v>7</v>
      </c>
      <c r="C844" t="s">
        <v>20</v>
      </c>
      <c r="D844">
        <v>2</v>
      </c>
      <c r="E844" s="3" t="s">
        <v>8</v>
      </c>
      <c r="F844" s="3" t="s">
        <v>12</v>
      </c>
      <c r="G844">
        <v>36021.01</v>
      </c>
    </row>
    <row r="845" spans="1:7" x14ac:dyDescent="0.25">
      <c r="A845" t="s">
        <v>26</v>
      </c>
      <c r="B845" s="3" t="s">
        <v>7</v>
      </c>
      <c r="C845" t="s">
        <v>18</v>
      </c>
      <c r="D845">
        <v>0</v>
      </c>
      <c r="E845" s="3" t="s">
        <v>8</v>
      </c>
      <c r="F845" s="3" t="s">
        <v>12</v>
      </c>
      <c r="G845">
        <v>27533.91</v>
      </c>
    </row>
    <row r="846" spans="1:7" x14ac:dyDescent="0.25">
      <c r="A846" t="s">
        <v>30</v>
      </c>
      <c r="B846" s="3" t="s">
        <v>10</v>
      </c>
      <c r="C846" t="s">
        <v>20</v>
      </c>
      <c r="D846">
        <v>0</v>
      </c>
      <c r="E846" s="3" t="s">
        <v>11</v>
      </c>
      <c r="F846" s="3" t="s">
        <v>14</v>
      </c>
      <c r="G846">
        <v>10072.06</v>
      </c>
    </row>
    <row r="847" spans="1:7" x14ac:dyDescent="0.25">
      <c r="A847" t="s">
        <v>26</v>
      </c>
      <c r="B847" s="3" t="s">
        <v>7</v>
      </c>
      <c r="C847" t="s">
        <v>20</v>
      </c>
      <c r="D847">
        <v>0</v>
      </c>
      <c r="E847" s="3" t="s">
        <v>8</v>
      </c>
      <c r="F847" s="3" t="s">
        <v>12</v>
      </c>
      <c r="G847">
        <v>45008.959999999999</v>
      </c>
    </row>
    <row r="848" spans="1:7" x14ac:dyDescent="0.25">
      <c r="A848" t="s">
        <v>30</v>
      </c>
      <c r="B848" s="3" t="s">
        <v>7</v>
      </c>
      <c r="C848" t="s">
        <v>20</v>
      </c>
      <c r="D848">
        <v>1</v>
      </c>
      <c r="E848" s="3" t="s">
        <v>11</v>
      </c>
      <c r="F848" s="3" t="s">
        <v>9</v>
      </c>
      <c r="G848">
        <v>9872.7000000000007</v>
      </c>
    </row>
    <row r="849" spans="1:7" x14ac:dyDescent="0.25">
      <c r="A849" t="s">
        <v>17</v>
      </c>
      <c r="B849" s="3" t="s">
        <v>10</v>
      </c>
      <c r="C849" t="s">
        <v>29</v>
      </c>
      <c r="D849">
        <v>1</v>
      </c>
      <c r="E849" s="3" t="s">
        <v>11</v>
      </c>
      <c r="F849" s="3" t="s">
        <v>12</v>
      </c>
      <c r="G849">
        <v>2438.06</v>
      </c>
    </row>
    <row r="850" spans="1:7" x14ac:dyDescent="0.25">
      <c r="A850" t="s">
        <v>21</v>
      </c>
      <c r="B850" s="3" t="s">
        <v>7</v>
      </c>
      <c r="C850" t="s">
        <v>23</v>
      </c>
      <c r="D850">
        <v>0</v>
      </c>
      <c r="E850" s="3" t="s">
        <v>11</v>
      </c>
      <c r="F850" s="3" t="s">
        <v>9</v>
      </c>
      <c r="G850">
        <v>2974.13</v>
      </c>
    </row>
    <row r="851" spans="1:7" x14ac:dyDescent="0.25">
      <c r="A851" t="s">
        <v>30</v>
      </c>
      <c r="B851" s="3" t="s">
        <v>10</v>
      </c>
      <c r="C851" t="s">
        <v>20</v>
      </c>
      <c r="D851">
        <v>0</v>
      </c>
      <c r="E851" s="3" t="s">
        <v>11</v>
      </c>
      <c r="F851" s="3" t="s">
        <v>13</v>
      </c>
      <c r="G851">
        <v>10601.63</v>
      </c>
    </row>
    <row r="852" spans="1:7" x14ac:dyDescent="0.25">
      <c r="A852" t="s">
        <v>25</v>
      </c>
      <c r="B852" s="3" t="s">
        <v>7</v>
      </c>
      <c r="C852" t="s">
        <v>20</v>
      </c>
      <c r="D852">
        <v>0</v>
      </c>
      <c r="E852" s="3" t="s">
        <v>8</v>
      </c>
      <c r="F852" s="3" t="s">
        <v>14</v>
      </c>
      <c r="G852">
        <v>37270.15</v>
      </c>
    </row>
    <row r="853" spans="1:7" x14ac:dyDescent="0.25">
      <c r="A853" t="s">
        <v>27</v>
      </c>
      <c r="B853" s="3" t="s">
        <v>10</v>
      </c>
      <c r="C853" t="s">
        <v>20</v>
      </c>
      <c r="D853">
        <v>2</v>
      </c>
      <c r="E853" s="3" t="s">
        <v>11</v>
      </c>
      <c r="F853" s="3" t="s">
        <v>13</v>
      </c>
      <c r="G853">
        <v>14119.62</v>
      </c>
    </row>
    <row r="854" spans="1:7" x14ac:dyDescent="0.25">
      <c r="A854" t="s">
        <v>24</v>
      </c>
      <c r="B854" s="3" t="s">
        <v>7</v>
      </c>
      <c r="C854" t="s">
        <v>28</v>
      </c>
      <c r="D854">
        <v>0</v>
      </c>
      <c r="E854" s="3" t="s">
        <v>8</v>
      </c>
      <c r="F854" s="3" t="s">
        <v>14</v>
      </c>
      <c r="G854">
        <v>42111.66</v>
      </c>
    </row>
    <row r="855" spans="1:7" x14ac:dyDescent="0.25">
      <c r="A855" t="s">
        <v>30</v>
      </c>
      <c r="B855" s="3" t="s">
        <v>7</v>
      </c>
      <c r="C855" t="s">
        <v>23</v>
      </c>
      <c r="D855">
        <v>2</v>
      </c>
      <c r="E855" s="3" t="s">
        <v>11</v>
      </c>
      <c r="F855" s="3" t="s">
        <v>14</v>
      </c>
      <c r="G855">
        <v>11729.68</v>
      </c>
    </row>
    <row r="856" spans="1:7" x14ac:dyDescent="0.25">
      <c r="A856" t="s">
        <v>24</v>
      </c>
      <c r="B856" s="3" t="s">
        <v>7</v>
      </c>
      <c r="C856" t="s">
        <v>23</v>
      </c>
      <c r="D856">
        <v>3</v>
      </c>
      <c r="E856" s="3" t="s">
        <v>8</v>
      </c>
      <c r="F856" s="3" t="s">
        <v>14</v>
      </c>
      <c r="G856">
        <v>24106.91</v>
      </c>
    </row>
    <row r="857" spans="1:7" x14ac:dyDescent="0.25">
      <c r="A857" t="s">
        <v>17</v>
      </c>
      <c r="B857" s="3" t="s">
        <v>7</v>
      </c>
      <c r="C857" t="s">
        <v>18</v>
      </c>
      <c r="D857">
        <v>0</v>
      </c>
      <c r="E857" s="3" t="s">
        <v>11</v>
      </c>
      <c r="F857" s="3" t="s">
        <v>9</v>
      </c>
      <c r="G857">
        <v>1875.34</v>
      </c>
    </row>
    <row r="858" spans="1:7" x14ac:dyDescent="0.25">
      <c r="A858" t="s">
        <v>24</v>
      </c>
      <c r="B858" s="3" t="s">
        <v>7</v>
      </c>
      <c r="C858" t="s">
        <v>20</v>
      </c>
      <c r="D858">
        <v>0</v>
      </c>
      <c r="E858" s="3" t="s">
        <v>8</v>
      </c>
      <c r="F858" s="3" t="s">
        <v>12</v>
      </c>
      <c r="G858">
        <v>40974.160000000003</v>
      </c>
    </row>
    <row r="859" spans="1:7" x14ac:dyDescent="0.25">
      <c r="A859" t="s">
        <v>17</v>
      </c>
      <c r="B859" s="3" t="s">
        <v>10</v>
      </c>
      <c r="C859" t="s">
        <v>23</v>
      </c>
      <c r="D859">
        <v>0</v>
      </c>
      <c r="E859" s="3" t="s">
        <v>8</v>
      </c>
      <c r="F859" s="3" t="s">
        <v>13</v>
      </c>
      <c r="G859">
        <v>15817.99</v>
      </c>
    </row>
    <row r="860" spans="1:7" x14ac:dyDescent="0.25">
      <c r="A860" t="s">
        <v>17</v>
      </c>
      <c r="B860" s="3" t="s">
        <v>7</v>
      </c>
      <c r="C860" t="s">
        <v>20</v>
      </c>
      <c r="D860">
        <v>1</v>
      </c>
      <c r="E860" s="3" t="s">
        <v>11</v>
      </c>
      <c r="F860" s="3" t="s">
        <v>12</v>
      </c>
      <c r="G860">
        <v>18218.16</v>
      </c>
    </row>
    <row r="861" spans="1:7" x14ac:dyDescent="0.25">
      <c r="A861" t="s">
        <v>26</v>
      </c>
      <c r="B861" s="3" t="s">
        <v>10</v>
      </c>
      <c r="C861" t="s">
        <v>18</v>
      </c>
      <c r="D861">
        <v>0</v>
      </c>
      <c r="E861" s="3" t="s">
        <v>11</v>
      </c>
      <c r="F861" s="3" t="s">
        <v>9</v>
      </c>
      <c r="G861">
        <v>10965.45</v>
      </c>
    </row>
    <row r="862" spans="1:7" x14ac:dyDescent="0.25">
      <c r="A862" t="s">
        <v>25</v>
      </c>
      <c r="B862" s="3" t="s">
        <v>7</v>
      </c>
      <c r="C862" t="s">
        <v>29</v>
      </c>
      <c r="D862">
        <v>2</v>
      </c>
      <c r="E862" s="3" t="s">
        <v>8</v>
      </c>
      <c r="F862" s="3" t="s">
        <v>9</v>
      </c>
      <c r="G862">
        <v>46113.51</v>
      </c>
    </row>
    <row r="863" spans="1:7" x14ac:dyDescent="0.25">
      <c r="A863" t="s">
        <v>25</v>
      </c>
      <c r="B863" s="3" t="s">
        <v>7</v>
      </c>
      <c r="C863" t="s">
        <v>18</v>
      </c>
      <c r="D863">
        <v>3</v>
      </c>
      <c r="E863" s="3" t="s">
        <v>11</v>
      </c>
      <c r="F863" s="3" t="s">
        <v>9</v>
      </c>
      <c r="G863">
        <v>7151.09</v>
      </c>
    </row>
    <row r="864" spans="1:7" x14ac:dyDescent="0.25">
      <c r="A864" t="s">
        <v>30</v>
      </c>
      <c r="B864" s="3" t="s">
        <v>7</v>
      </c>
      <c r="C864" t="s">
        <v>20</v>
      </c>
      <c r="D864">
        <v>2</v>
      </c>
      <c r="E864" s="3" t="s">
        <v>11</v>
      </c>
      <c r="F864" s="3" t="s">
        <v>13</v>
      </c>
      <c r="G864">
        <v>12269.69</v>
      </c>
    </row>
    <row r="865" spans="1:7" x14ac:dyDescent="0.25">
      <c r="A865" t="s">
        <v>25</v>
      </c>
      <c r="B865" s="3" t="s">
        <v>7</v>
      </c>
      <c r="C865" t="s">
        <v>23</v>
      </c>
      <c r="D865">
        <v>0</v>
      </c>
      <c r="E865" s="3" t="s">
        <v>11</v>
      </c>
      <c r="F865" s="3" t="s">
        <v>14</v>
      </c>
      <c r="G865">
        <v>5458.05</v>
      </c>
    </row>
    <row r="866" spans="1:7" x14ac:dyDescent="0.25">
      <c r="A866" t="s">
        <v>30</v>
      </c>
      <c r="B866" s="3" t="s">
        <v>10</v>
      </c>
      <c r="C866" t="s">
        <v>18</v>
      </c>
      <c r="D866">
        <v>0</v>
      </c>
      <c r="E866" s="3" t="s">
        <v>11</v>
      </c>
      <c r="F866" s="3" t="s">
        <v>9</v>
      </c>
      <c r="G866">
        <v>8782.4699999999993</v>
      </c>
    </row>
    <row r="867" spans="1:7" x14ac:dyDescent="0.25">
      <c r="A867" t="s">
        <v>25</v>
      </c>
      <c r="B867" s="3" t="s">
        <v>10</v>
      </c>
      <c r="C867" t="s">
        <v>20</v>
      </c>
      <c r="D867">
        <v>2</v>
      </c>
      <c r="E867" s="3" t="s">
        <v>11</v>
      </c>
      <c r="F867" s="3" t="s">
        <v>9</v>
      </c>
      <c r="G867">
        <v>6600.36</v>
      </c>
    </row>
    <row r="868" spans="1:7" x14ac:dyDescent="0.25">
      <c r="A868" t="s">
        <v>19</v>
      </c>
      <c r="B868" s="3" t="s">
        <v>10</v>
      </c>
      <c r="C868" t="s">
        <v>28</v>
      </c>
      <c r="D868">
        <v>0</v>
      </c>
      <c r="E868" s="3" t="s">
        <v>11</v>
      </c>
      <c r="F868" s="3" t="s">
        <v>12</v>
      </c>
      <c r="G868">
        <v>1141.45</v>
      </c>
    </row>
    <row r="869" spans="1:7" x14ac:dyDescent="0.25">
      <c r="A869" t="s">
        <v>26</v>
      </c>
      <c r="B869" s="3" t="s">
        <v>10</v>
      </c>
      <c r="C869" t="s">
        <v>29</v>
      </c>
      <c r="D869">
        <v>1</v>
      </c>
      <c r="E869" s="3" t="s">
        <v>11</v>
      </c>
      <c r="F869" s="3" t="s">
        <v>9</v>
      </c>
      <c r="G869">
        <v>11576.13</v>
      </c>
    </row>
    <row r="870" spans="1:7" x14ac:dyDescent="0.25">
      <c r="A870" t="s">
        <v>27</v>
      </c>
      <c r="B870" s="3" t="s">
        <v>10</v>
      </c>
      <c r="C870" t="s">
        <v>23</v>
      </c>
      <c r="D870">
        <v>0</v>
      </c>
      <c r="E870" s="3" t="s">
        <v>11</v>
      </c>
      <c r="F870" s="3" t="s">
        <v>14</v>
      </c>
      <c r="G870">
        <v>13129.6</v>
      </c>
    </row>
    <row r="871" spans="1:7" x14ac:dyDescent="0.25">
      <c r="A871" t="s">
        <v>17</v>
      </c>
      <c r="B871" s="3" t="s">
        <v>7</v>
      </c>
      <c r="C871" t="s">
        <v>23</v>
      </c>
      <c r="D871">
        <v>3</v>
      </c>
      <c r="E871" s="3" t="s">
        <v>11</v>
      </c>
      <c r="F871" s="3" t="s">
        <v>9</v>
      </c>
      <c r="G871">
        <v>4391.6499999999996</v>
      </c>
    </row>
    <row r="872" spans="1:7" x14ac:dyDescent="0.25">
      <c r="A872" t="s">
        <v>24</v>
      </c>
      <c r="B872" s="3" t="s">
        <v>10</v>
      </c>
      <c r="C872" t="s">
        <v>28</v>
      </c>
      <c r="D872">
        <v>0</v>
      </c>
      <c r="E872" s="3" t="s">
        <v>11</v>
      </c>
      <c r="F872" s="3" t="s">
        <v>9</v>
      </c>
      <c r="G872">
        <v>8457.82</v>
      </c>
    </row>
    <row r="873" spans="1:7" x14ac:dyDescent="0.25">
      <c r="A873" t="s">
        <v>21</v>
      </c>
      <c r="B873" s="3" t="s">
        <v>7</v>
      </c>
      <c r="C873" t="s">
        <v>18</v>
      </c>
      <c r="D873">
        <v>1</v>
      </c>
      <c r="E873" s="3" t="s">
        <v>11</v>
      </c>
      <c r="F873" s="3" t="s">
        <v>12</v>
      </c>
      <c r="G873">
        <v>3392.37</v>
      </c>
    </row>
    <row r="874" spans="1:7" x14ac:dyDescent="0.25">
      <c r="A874" t="s">
        <v>32</v>
      </c>
      <c r="B874" s="3" t="s">
        <v>10</v>
      </c>
      <c r="C874" t="s">
        <v>23</v>
      </c>
      <c r="D874">
        <v>0</v>
      </c>
      <c r="E874" s="3" t="s">
        <v>11</v>
      </c>
      <c r="F874" s="3" t="s">
        <v>12</v>
      </c>
      <c r="G874">
        <v>5966.89</v>
      </c>
    </row>
    <row r="875" spans="1:7" x14ac:dyDescent="0.25">
      <c r="A875" t="s">
        <v>32</v>
      </c>
      <c r="B875" s="3" t="s">
        <v>10</v>
      </c>
      <c r="C875" t="s">
        <v>20</v>
      </c>
      <c r="D875">
        <v>1</v>
      </c>
      <c r="E875" s="3" t="s">
        <v>11</v>
      </c>
      <c r="F875" s="3" t="s">
        <v>9</v>
      </c>
      <c r="G875">
        <v>6849.03</v>
      </c>
    </row>
    <row r="876" spans="1:7" x14ac:dyDescent="0.25">
      <c r="A876" t="s">
        <v>32</v>
      </c>
      <c r="B876" s="3" t="s">
        <v>10</v>
      </c>
      <c r="C876" t="s">
        <v>23</v>
      </c>
      <c r="D876">
        <v>3</v>
      </c>
      <c r="E876" s="3" t="s">
        <v>11</v>
      </c>
      <c r="F876" s="3" t="s">
        <v>14</v>
      </c>
      <c r="G876">
        <v>8891.14</v>
      </c>
    </row>
    <row r="877" spans="1:7" x14ac:dyDescent="0.25">
      <c r="A877" t="s">
        <v>17</v>
      </c>
      <c r="B877" s="3" t="s">
        <v>7</v>
      </c>
      <c r="C877" t="s">
        <v>18</v>
      </c>
      <c r="D877">
        <v>0</v>
      </c>
      <c r="E877" s="3" t="s">
        <v>11</v>
      </c>
      <c r="F877" s="3" t="s">
        <v>13</v>
      </c>
      <c r="G877">
        <v>2690.11</v>
      </c>
    </row>
    <row r="878" spans="1:7" x14ac:dyDescent="0.25">
      <c r="A878" t="s">
        <v>24</v>
      </c>
      <c r="B878" s="3" t="s">
        <v>7</v>
      </c>
      <c r="C878" t="s">
        <v>18</v>
      </c>
      <c r="D878">
        <v>1</v>
      </c>
      <c r="E878" s="3" t="s">
        <v>11</v>
      </c>
      <c r="F878" s="3" t="s">
        <v>9</v>
      </c>
      <c r="G878">
        <v>26140.36</v>
      </c>
    </row>
    <row r="879" spans="1:7" x14ac:dyDescent="0.25">
      <c r="A879" t="s">
        <v>22</v>
      </c>
      <c r="B879" s="3" t="s">
        <v>10</v>
      </c>
      <c r="C879" t="s">
        <v>20</v>
      </c>
      <c r="D879">
        <v>5</v>
      </c>
      <c r="E879" s="3" t="s">
        <v>11</v>
      </c>
      <c r="F879" s="3" t="s">
        <v>12</v>
      </c>
      <c r="G879">
        <v>6653.79</v>
      </c>
    </row>
    <row r="880" spans="1:7" x14ac:dyDescent="0.25">
      <c r="A880" t="s">
        <v>32</v>
      </c>
      <c r="B880" s="3" t="s">
        <v>10</v>
      </c>
      <c r="C880" t="s">
        <v>18</v>
      </c>
      <c r="D880">
        <v>1</v>
      </c>
      <c r="E880" s="3" t="s">
        <v>11</v>
      </c>
      <c r="F880" s="3" t="s">
        <v>9</v>
      </c>
      <c r="G880">
        <v>6282.24</v>
      </c>
    </row>
    <row r="881" spans="1:7" x14ac:dyDescent="0.25">
      <c r="A881" t="s">
        <v>25</v>
      </c>
      <c r="B881" s="3" t="s">
        <v>7</v>
      </c>
      <c r="C881" t="s">
        <v>18</v>
      </c>
      <c r="D881">
        <v>2</v>
      </c>
      <c r="E881" s="3" t="s">
        <v>11</v>
      </c>
      <c r="F881" s="3" t="s">
        <v>9</v>
      </c>
      <c r="G881">
        <v>6311.95</v>
      </c>
    </row>
    <row r="882" spans="1:7" x14ac:dyDescent="0.25">
      <c r="A882" t="s">
        <v>17</v>
      </c>
      <c r="B882" s="3" t="s">
        <v>10</v>
      </c>
      <c r="C882" t="s">
        <v>20</v>
      </c>
      <c r="D882">
        <v>3</v>
      </c>
      <c r="E882" s="3" t="s">
        <v>11</v>
      </c>
      <c r="F882" s="3" t="s">
        <v>9</v>
      </c>
      <c r="G882">
        <v>3443.06</v>
      </c>
    </row>
    <row r="883" spans="1:7" x14ac:dyDescent="0.25">
      <c r="A883" t="s">
        <v>17</v>
      </c>
      <c r="B883" s="3" t="s">
        <v>10</v>
      </c>
      <c r="C883" t="s">
        <v>18</v>
      </c>
      <c r="D883">
        <v>1</v>
      </c>
      <c r="E883" s="3" t="s">
        <v>11</v>
      </c>
      <c r="F883" s="3" t="s">
        <v>13</v>
      </c>
      <c r="G883">
        <v>2789.06</v>
      </c>
    </row>
    <row r="884" spans="1:7" x14ac:dyDescent="0.25">
      <c r="A884" t="s">
        <v>17</v>
      </c>
      <c r="B884" s="3" t="s">
        <v>7</v>
      </c>
      <c r="C884" t="s">
        <v>23</v>
      </c>
      <c r="D884">
        <v>0</v>
      </c>
      <c r="E884" s="3" t="s">
        <v>11</v>
      </c>
      <c r="F884" s="3" t="s">
        <v>14</v>
      </c>
      <c r="G884">
        <v>2585.85</v>
      </c>
    </row>
    <row r="885" spans="1:7" x14ac:dyDescent="0.25">
      <c r="A885" t="s">
        <v>30</v>
      </c>
      <c r="B885" s="3" t="s">
        <v>7</v>
      </c>
      <c r="C885" t="s">
        <v>28</v>
      </c>
      <c r="D885">
        <v>3</v>
      </c>
      <c r="E885" s="3" t="s">
        <v>8</v>
      </c>
      <c r="F885" s="3" t="s">
        <v>14</v>
      </c>
      <c r="G885">
        <v>46255.11</v>
      </c>
    </row>
    <row r="886" spans="1:7" x14ac:dyDescent="0.25">
      <c r="A886" t="s">
        <v>17</v>
      </c>
      <c r="B886" s="3" t="s">
        <v>10</v>
      </c>
      <c r="C886" t="s">
        <v>18</v>
      </c>
      <c r="D886">
        <v>4</v>
      </c>
      <c r="E886" s="3" t="s">
        <v>11</v>
      </c>
      <c r="F886" s="3" t="s">
        <v>13</v>
      </c>
      <c r="G886">
        <v>4877.9799999999996</v>
      </c>
    </row>
    <row r="887" spans="1:7" x14ac:dyDescent="0.25">
      <c r="A887" t="s">
        <v>22</v>
      </c>
      <c r="B887" s="3" t="s">
        <v>10</v>
      </c>
      <c r="C887" t="s">
        <v>18</v>
      </c>
      <c r="D887">
        <v>1</v>
      </c>
      <c r="E887" s="3" t="s">
        <v>8</v>
      </c>
      <c r="F887" s="3" t="s">
        <v>12</v>
      </c>
      <c r="G887">
        <v>19719.689999999999</v>
      </c>
    </row>
    <row r="888" spans="1:7" x14ac:dyDescent="0.25">
      <c r="A888" t="s">
        <v>26</v>
      </c>
      <c r="B888" s="3" t="s">
        <v>10</v>
      </c>
      <c r="C888" t="s">
        <v>18</v>
      </c>
      <c r="D888">
        <v>0</v>
      </c>
      <c r="E888" s="3" t="s">
        <v>8</v>
      </c>
      <c r="F888" s="3" t="s">
        <v>14</v>
      </c>
      <c r="G888">
        <v>27218.44</v>
      </c>
    </row>
    <row r="889" spans="1:7" x14ac:dyDescent="0.25">
      <c r="A889" t="s">
        <v>25</v>
      </c>
      <c r="B889" s="3" t="s">
        <v>7</v>
      </c>
      <c r="C889" t="s">
        <v>20</v>
      </c>
      <c r="D889">
        <v>0</v>
      </c>
      <c r="E889" s="3" t="s">
        <v>11</v>
      </c>
      <c r="F889" s="3" t="s">
        <v>13</v>
      </c>
      <c r="G889">
        <v>5272.18</v>
      </c>
    </row>
    <row r="890" spans="1:7" x14ac:dyDescent="0.25">
      <c r="A890" t="s">
        <v>17</v>
      </c>
      <c r="B890" s="3" t="s">
        <v>10</v>
      </c>
      <c r="C890" t="s">
        <v>28</v>
      </c>
      <c r="D890">
        <v>0</v>
      </c>
      <c r="E890" s="3" t="s">
        <v>11</v>
      </c>
      <c r="F890" s="3" t="s">
        <v>9</v>
      </c>
      <c r="G890">
        <v>1682.6</v>
      </c>
    </row>
    <row r="891" spans="1:7" x14ac:dyDescent="0.25">
      <c r="A891" t="s">
        <v>26</v>
      </c>
      <c r="B891" s="3" t="s">
        <v>10</v>
      </c>
      <c r="C891" t="s">
        <v>20</v>
      </c>
      <c r="D891">
        <v>1</v>
      </c>
      <c r="E891" s="3" t="s">
        <v>11</v>
      </c>
      <c r="F891" s="3" t="s">
        <v>13</v>
      </c>
      <c r="G891">
        <v>11945.13</v>
      </c>
    </row>
    <row r="892" spans="1:7" x14ac:dyDescent="0.25">
      <c r="A892" t="s">
        <v>27</v>
      </c>
      <c r="B892" s="3" t="s">
        <v>7</v>
      </c>
      <c r="C892" t="s">
        <v>18</v>
      </c>
      <c r="D892">
        <v>0</v>
      </c>
      <c r="E892" s="3" t="s">
        <v>8</v>
      </c>
      <c r="F892" s="3" t="s">
        <v>13</v>
      </c>
      <c r="G892">
        <v>29330.98</v>
      </c>
    </row>
    <row r="893" spans="1:7" x14ac:dyDescent="0.25">
      <c r="A893" t="s">
        <v>25</v>
      </c>
      <c r="B893" s="3" t="s">
        <v>7</v>
      </c>
      <c r="C893" t="s">
        <v>18</v>
      </c>
      <c r="D893">
        <v>4</v>
      </c>
      <c r="E893" s="3" t="s">
        <v>11</v>
      </c>
      <c r="F893" s="3" t="s">
        <v>12</v>
      </c>
      <c r="G893">
        <v>7243.81</v>
      </c>
    </row>
    <row r="894" spans="1:7" x14ac:dyDescent="0.25">
      <c r="A894" t="s">
        <v>30</v>
      </c>
      <c r="B894" s="3" t="s">
        <v>10</v>
      </c>
      <c r="C894" t="s">
        <v>23</v>
      </c>
      <c r="D894">
        <v>0</v>
      </c>
      <c r="E894" s="3" t="s">
        <v>11</v>
      </c>
      <c r="F894" s="3" t="s">
        <v>14</v>
      </c>
      <c r="G894">
        <v>10422.92</v>
      </c>
    </row>
    <row r="895" spans="1:7" x14ac:dyDescent="0.25">
      <c r="A895" t="s">
        <v>24</v>
      </c>
      <c r="B895" s="3" t="s">
        <v>10</v>
      </c>
      <c r="C895" t="s">
        <v>28</v>
      </c>
      <c r="D895">
        <v>2</v>
      </c>
      <c r="E895" s="3" t="s">
        <v>8</v>
      </c>
      <c r="F895" s="3" t="s">
        <v>12</v>
      </c>
      <c r="G895">
        <v>44202.65</v>
      </c>
    </row>
    <row r="896" spans="1:7" x14ac:dyDescent="0.25">
      <c r="A896" t="s">
        <v>27</v>
      </c>
      <c r="B896" s="3" t="s">
        <v>10</v>
      </c>
      <c r="C896" t="s">
        <v>20</v>
      </c>
      <c r="D896">
        <v>0</v>
      </c>
      <c r="E896" s="3" t="s">
        <v>11</v>
      </c>
      <c r="F896" s="3" t="s">
        <v>14</v>
      </c>
      <c r="G896">
        <v>13555</v>
      </c>
    </row>
    <row r="897" spans="1:7" x14ac:dyDescent="0.25">
      <c r="A897" t="s">
        <v>27</v>
      </c>
      <c r="B897" s="3" t="s">
        <v>7</v>
      </c>
      <c r="C897" t="s">
        <v>29</v>
      </c>
      <c r="D897">
        <v>0</v>
      </c>
      <c r="E897" s="3" t="s">
        <v>11</v>
      </c>
      <c r="F897" s="3" t="s">
        <v>9</v>
      </c>
      <c r="G897">
        <v>13063.88</v>
      </c>
    </row>
    <row r="898" spans="1:7" x14ac:dyDescent="0.25">
      <c r="A898" t="s">
        <v>32</v>
      </c>
      <c r="B898" s="3" t="s">
        <v>7</v>
      </c>
      <c r="C898" t="s">
        <v>23</v>
      </c>
      <c r="D898">
        <v>2</v>
      </c>
      <c r="E898" s="3" t="s">
        <v>8</v>
      </c>
      <c r="F898" s="3" t="s">
        <v>14</v>
      </c>
      <c r="G898">
        <v>19798.05</v>
      </c>
    </row>
    <row r="899" spans="1:7" x14ac:dyDescent="0.25">
      <c r="A899" t="s">
        <v>17</v>
      </c>
      <c r="B899" s="3" t="s">
        <v>10</v>
      </c>
      <c r="C899" t="s">
        <v>18</v>
      </c>
      <c r="D899">
        <v>1</v>
      </c>
      <c r="E899" s="3" t="s">
        <v>11</v>
      </c>
      <c r="F899" s="3" t="s">
        <v>13</v>
      </c>
      <c r="G899">
        <v>2221.56</v>
      </c>
    </row>
    <row r="900" spans="1:7" x14ac:dyDescent="0.25">
      <c r="A900" t="s">
        <v>19</v>
      </c>
      <c r="B900" s="3" t="s">
        <v>7</v>
      </c>
      <c r="C900" t="s">
        <v>29</v>
      </c>
      <c r="D900">
        <v>0</v>
      </c>
      <c r="E900" s="3" t="s">
        <v>11</v>
      </c>
      <c r="F900" s="3" t="s">
        <v>12</v>
      </c>
      <c r="G900">
        <v>1634.57</v>
      </c>
    </row>
    <row r="901" spans="1:7" x14ac:dyDescent="0.25">
      <c r="A901" t="s">
        <v>17</v>
      </c>
      <c r="B901" s="3" t="s">
        <v>7</v>
      </c>
      <c r="C901" t="s">
        <v>23</v>
      </c>
      <c r="D901">
        <v>0</v>
      </c>
      <c r="E901" s="3" t="s">
        <v>11</v>
      </c>
      <c r="F901" s="3" t="s">
        <v>13</v>
      </c>
      <c r="G901">
        <v>2117.34</v>
      </c>
    </row>
    <row r="902" spans="1:7" x14ac:dyDescent="0.25">
      <c r="A902" t="s">
        <v>24</v>
      </c>
      <c r="B902" s="3" t="s">
        <v>10</v>
      </c>
      <c r="C902" t="s">
        <v>23</v>
      </c>
      <c r="D902">
        <v>0</v>
      </c>
      <c r="E902" s="3" t="s">
        <v>11</v>
      </c>
      <c r="F902" s="3" t="s">
        <v>14</v>
      </c>
      <c r="G902">
        <v>8688.86</v>
      </c>
    </row>
    <row r="903" spans="1:7" x14ac:dyDescent="0.25">
      <c r="A903" t="s">
        <v>26</v>
      </c>
      <c r="B903" s="3" t="s">
        <v>10</v>
      </c>
      <c r="C903" t="s">
        <v>29</v>
      </c>
      <c r="D903">
        <v>0</v>
      </c>
      <c r="E903" s="3" t="s">
        <v>8</v>
      </c>
      <c r="F903" s="3" t="s">
        <v>12</v>
      </c>
      <c r="G903">
        <v>48673.56</v>
      </c>
    </row>
    <row r="904" spans="1:7" x14ac:dyDescent="0.25">
      <c r="A904" t="s">
        <v>21</v>
      </c>
      <c r="B904" s="3" t="s">
        <v>10</v>
      </c>
      <c r="C904" t="s">
        <v>18</v>
      </c>
      <c r="D904">
        <v>3</v>
      </c>
      <c r="E904" s="3" t="s">
        <v>11</v>
      </c>
      <c r="F904" s="3" t="s">
        <v>14</v>
      </c>
      <c r="G904">
        <v>4661.29</v>
      </c>
    </row>
    <row r="905" spans="1:7" x14ac:dyDescent="0.25">
      <c r="A905" t="s">
        <v>24</v>
      </c>
      <c r="B905" s="3" t="s">
        <v>10</v>
      </c>
      <c r="C905" t="s">
        <v>28</v>
      </c>
      <c r="D905">
        <v>0</v>
      </c>
      <c r="E905" s="3" t="s">
        <v>11</v>
      </c>
      <c r="F905" s="3" t="s">
        <v>12</v>
      </c>
      <c r="G905">
        <v>8125.78</v>
      </c>
    </row>
    <row r="906" spans="1:7" x14ac:dyDescent="0.25">
      <c r="A906" t="s">
        <v>26</v>
      </c>
      <c r="B906" s="3" t="s">
        <v>7</v>
      </c>
      <c r="C906" t="s">
        <v>28</v>
      </c>
      <c r="D906">
        <v>0</v>
      </c>
      <c r="E906" s="3" t="s">
        <v>11</v>
      </c>
      <c r="F906" s="3" t="s">
        <v>9</v>
      </c>
      <c r="G906">
        <v>12644.59</v>
      </c>
    </row>
    <row r="907" spans="1:7" x14ac:dyDescent="0.25">
      <c r="A907" t="s">
        <v>21</v>
      </c>
      <c r="B907" s="3" t="s">
        <v>7</v>
      </c>
      <c r="C907" t="s">
        <v>18</v>
      </c>
      <c r="D907">
        <v>2</v>
      </c>
      <c r="E907" s="3" t="s">
        <v>11</v>
      </c>
      <c r="F907" s="3" t="s">
        <v>14</v>
      </c>
      <c r="G907">
        <v>4564.1899999999996</v>
      </c>
    </row>
    <row r="908" spans="1:7" x14ac:dyDescent="0.25">
      <c r="A908" t="s">
        <v>21</v>
      </c>
      <c r="B908" s="3" t="s">
        <v>10</v>
      </c>
      <c r="C908" t="s">
        <v>20</v>
      </c>
      <c r="D908">
        <v>3</v>
      </c>
      <c r="E908" s="3" t="s">
        <v>11</v>
      </c>
      <c r="F908" s="3" t="s">
        <v>14</v>
      </c>
      <c r="G908">
        <v>4846.92</v>
      </c>
    </row>
    <row r="909" spans="1:7" x14ac:dyDescent="0.25">
      <c r="A909" t="s">
        <v>32</v>
      </c>
      <c r="B909" s="3" t="s">
        <v>7</v>
      </c>
      <c r="C909" t="s">
        <v>20</v>
      </c>
      <c r="D909">
        <v>1</v>
      </c>
      <c r="E909" s="3" t="s">
        <v>11</v>
      </c>
      <c r="F909" s="3" t="s">
        <v>12</v>
      </c>
      <c r="G909">
        <v>7633.72</v>
      </c>
    </row>
    <row r="910" spans="1:7" x14ac:dyDescent="0.25">
      <c r="A910" t="s">
        <v>27</v>
      </c>
      <c r="B910" s="3" t="s">
        <v>10</v>
      </c>
      <c r="C910" t="s">
        <v>28</v>
      </c>
      <c r="D910">
        <v>3</v>
      </c>
      <c r="E910" s="3" t="s">
        <v>11</v>
      </c>
      <c r="F910" s="3" t="s">
        <v>9</v>
      </c>
      <c r="G910">
        <v>15170.07</v>
      </c>
    </row>
    <row r="911" spans="1:7" x14ac:dyDescent="0.25">
      <c r="A911" t="s">
        <v>22</v>
      </c>
      <c r="B911" s="3" t="s">
        <v>7</v>
      </c>
      <c r="C911" t="s">
        <v>23</v>
      </c>
      <c r="D911">
        <v>0</v>
      </c>
      <c r="E911" s="3" t="s">
        <v>8</v>
      </c>
      <c r="F911" s="3" t="s">
        <v>9</v>
      </c>
      <c r="G911">
        <v>17496.310000000001</v>
      </c>
    </row>
    <row r="912" spans="1:7" x14ac:dyDescent="0.25">
      <c r="A912" t="s">
        <v>17</v>
      </c>
      <c r="B912" s="3" t="s">
        <v>10</v>
      </c>
      <c r="C912" t="s">
        <v>18</v>
      </c>
      <c r="D912">
        <v>1</v>
      </c>
      <c r="E912" s="3" t="s">
        <v>11</v>
      </c>
      <c r="F912" s="3" t="s">
        <v>13</v>
      </c>
      <c r="G912">
        <v>2639.04</v>
      </c>
    </row>
    <row r="913" spans="1:7" x14ac:dyDescent="0.25">
      <c r="A913" t="s">
        <v>19</v>
      </c>
      <c r="B913" s="3" t="s">
        <v>10</v>
      </c>
      <c r="C913" t="s">
        <v>20</v>
      </c>
      <c r="D913">
        <v>0</v>
      </c>
      <c r="E913" s="3" t="s">
        <v>8</v>
      </c>
      <c r="F913" s="3" t="s">
        <v>14</v>
      </c>
      <c r="G913">
        <v>33732.69</v>
      </c>
    </row>
    <row r="914" spans="1:7" x14ac:dyDescent="0.25">
      <c r="A914" t="s">
        <v>26</v>
      </c>
      <c r="B914" s="3" t="s">
        <v>7</v>
      </c>
      <c r="C914" t="s">
        <v>18</v>
      </c>
      <c r="D914">
        <v>3</v>
      </c>
      <c r="E914" s="3" t="s">
        <v>11</v>
      </c>
      <c r="F914" s="3" t="s">
        <v>13</v>
      </c>
      <c r="G914">
        <v>14382.71</v>
      </c>
    </row>
    <row r="915" spans="1:7" x14ac:dyDescent="0.25">
      <c r="A915" t="s">
        <v>32</v>
      </c>
      <c r="B915" s="3" t="s">
        <v>7</v>
      </c>
      <c r="C915" t="s">
        <v>18</v>
      </c>
      <c r="D915">
        <v>1</v>
      </c>
      <c r="E915" s="3" t="s">
        <v>11</v>
      </c>
      <c r="F915" s="3" t="s">
        <v>9</v>
      </c>
      <c r="G915">
        <v>7626.99</v>
      </c>
    </row>
    <row r="916" spans="1:7" x14ac:dyDescent="0.25">
      <c r="A916" t="s">
        <v>22</v>
      </c>
      <c r="B916" s="3" t="s">
        <v>10</v>
      </c>
      <c r="C916" t="s">
        <v>23</v>
      </c>
      <c r="D916">
        <v>2</v>
      </c>
      <c r="E916" s="3" t="s">
        <v>11</v>
      </c>
      <c r="F916" s="3" t="s">
        <v>13</v>
      </c>
      <c r="G916">
        <v>5257.51</v>
      </c>
    </row>
    <row r="917" spans="1:7" x14ac:dyDescent="0.25">
      <c r="A917" t="s">
        <v>17</v>
      </c>
      <c r="B917" s="3" t="s">
        <v>7</v>
      </c>
      <c r="C917" t="s">
        <v>20</v>
      </c>
      <c r="D917">
        <v>0</v>
      </c>
      <c r="E917" s="3" t="s">
        <v>11</v>
      </c>
      <c r="F917" s="3" t="s">
        <v>12</v>
      </c>
      <c r="G917">
        <v>2473.33</v>
      </c>
    </row>
    <row r="918" spans="1:7" x14ac:dyDescent="0.25">
      <c r="A918" t="s">
        <v>32</v>
      </c>
      <c r="B918" s="3" t="s">
        <v>7</v>
      </c>
      <c r="C918" t="s">
        <v>18</v>
      </c>
      <c r="D918">
        <v>0</v>
      </c>
      <c r="E918" s="3" t="s">
        <v>8</v>
      </c>
      <c r="F918" s="3" t="s">
        <v>13</v>
      </c>
      <c r="G918">
        <v>21774.32</v>
      </c>
    </row>
    <row r="919" spans="1:7" x14ac:dyDescent="0.25">
      <c r="A919" t="s">
        <v>32</v>
      </c>
      <c r="B919" s="3" t="s">
        <v>10</v>
      </c>
      <c r="C919" t="s">
        <v>23</v>
      </c>
      <c r="D919">
        <v>0</v>
      </c>
      <c r="E919" s="3" t="s">
        <v>8</v>
      </c>
      <c r="F919" s="3" t="s">
        <v>14</v>
      </c>
      <c r="G919">
        <v>35069.370000000003</v>
      </c>
    </row>
    <row r="920" spans="1:7" x14ac:dyDescent="0.25">
      <c r="A920" t="s">
        <v>27</v>
      </c>
      <c r="B920" s="3" t="s">
        <v>7</v>
      </c>
      <c r="C920" t="s">
        <v>18</v>
      </c>
      <c r="D920">
        <v>0</v>
      </c>
      <c r="E920" s="3" t="s">
        <v>11</v>
      </c>
      <c r="F920" s="3" t="s">
        <v>9</v>
      </c>
      <c r="G920">
        <v>13041.92</v>
      </c>
    </row>
    <row r="921" spans="1:7" x14ac:dyDescent="0.25">
      <c r="A921" t="s">
        <v>22</v>
      </c>
      <c r="B921" s="3" t="s">
        <v>7</v>
      </c>
      <c r="C921" t="s">
        <v>20</v>
      </c>
      <c r="D921">
        <v>1</v>
      </c>
      <c r="E921" s="3" t="s">
        <v>11</v>
      </c>
      <c r="F921" s="3" t="s">
        <v>12</v>
      </c>
      <c r="G921">
        <v>5245.23</v>
      </c>
    </row>
    <row r="922" spans="1:7" x14ac:dyDescent="0.25">
      <c r="A922" t="s">
        <v>27</v>
      </c>
      <c r="B922" s="3" t="s">
        <v>7</v>
      </c>
      <c r="C922" t="s">
        <v>18</v>
      </c>
      <c r="D922">
        <v>0</v>
      </c>
      <c r="E922" s="3" t="s">
        <v>11</v>
      </c>
      <c r="F922" s="3" t="s">
        <v>9</v>
      </c>
      <c r="G922">
        <v>13451.12</v>
      </c>
    </row>
    <row r="923" spans="1:7" x14ac:dyDescent="0.25">
      <c r="A923" t="s">
        <v>27</v>
      </c>
      <c r="B923" s="3" t="s">
        <v>7</v>
      </c>
      <c r="C923" t="s">
        <v>20</v>
      </c>
      <c r="D923">
        <v>0</v>
      </c>
      <c r="E923" s="3" t="s">
        <v>11</v>
      </c>
      <c r="F923" s="3" t="s">
        <v>9</v>
      </c>
      <c r="G923">
        <v>13462.52</v>
      </c>
    </row>
    <row r="924" spans="1:7" x14ac:dyDescent="0.25">
      <c r="A924" t="s">
        <v>25</v>
      </c>
      <c r="B924" s="3" t="s">
        <v>10</v>
      </c>
      <c r="C924" t="s">
        <v>20</v>
      </c>
      <c r="D924">
        <v>1</v>
      </c>
      <c r="E924" s="3" t="s">
        <v>11</v>
      </c>
      <c r="F924" s="3" t="s">
        <v>9</v>
      </c>
      <c r="G924">
        <v>5488.26</v>
      </c>
    </row>
    <row r="925" spans="1:7" x14ac:dyDescent="0.25">
      <c r="A925" t="s">
        <v>22</v>
      </c>
      <c r="B925" s="3" t="s">
        <v>10</v>
      </c>
      <c r="C925" t="s">
        <v>28</v>
      </c>
      <c r="D925">
        <v>0</v>
      </c>
      <c r="E925" s="3" t="s">
        <v>11</v>
      </c>
      <c r="F925" s="3" t="s">
        <v>13</v>
      </c>
      <c r="G925">
        <v>4320.41</v>
      </c>
    </row>
    <row r="926" spans="1:7" x14ac:dyDescent="0.25">
      <c r="A926" t="s">
        <v>32</v>
      </c>
      <c r="B926" s="3" t="s">
        <v>10</v>
      </c>
      <c r="C926" t="s">
        <v>23</v>
      </c>
      <c r="D926">
        <v>0</v>
      </c>
      <c r="E926" s="3" t="s">
        <v>11</v>
      </c>
      <c r="F926" s="3" t="s">
        <v>9</v>
      </c>
      <c r="G926">
        <v>6250.44</v>
      </c>
    </row>
    <row r="927" spans="1:7" x14ac:dyDescent="0.25">
      <c r="A927" t="s">
        <v>24</v>
      </c>
      <c r="B927" s="3" t="s">
        <v>10</v>
      </c>
      <c r="C927" t="s">
        <v>20</v>
      </c>
      <c r="D927">
        <v>2</v>
      </c>
      <c r="E927" s="3" t="s">
        <v>11</v>
      </c>
      <c r="F927" s="3" t="s">
        <v>14</v>
      </c>
      <c r="G927">
        <v>25333.33</v>
      </c>
    </row>
    <row r="928" spans="1:7" x14ac:dyDescent="0.25">
      <c r="A928" t="s">
        <v>17</v>
      </c>
      <c r="B928" s="3" t="s">
        <v>7</v>
      </c>
      <c r="C928" t="s">
        <v>23</v>
      </c>
      <c r="D928">
        <v>2</v>
      </c>
      <c r="E928" s="3" t="s">
        <v>11</v>
      </c>
      <c r="F928" s="3" t="s">
        <v>9</v>
      </c>
      <c r="G928">
        <v>2913.57</v>
      </c>
    </row>
    <row r="929" spans="1:7" x14ac:dyDescent="0.25">
      <c r="A929" t="s">
        <v>26</v>
      </c>
      <c r="B929" s="3" t="s">
        <v>7</v>
      </c>
      <c r="C929" t="s">
        <v>23</v>
      </c>
      <c r="D929">
        <v>1</v>
      </c>
      <c r="E929" s="3" t="s">
        <v>11</v>
      </c>
      <c r="F929" s="3" t="s">
        <v>9</v>
      </c>
      <c r="G929">
        <v>12032.33</v>
      </c>
    </row>
    <row r="930" spans="1:7" x14ac:dyDescent="0.25">
      <c r="A930" t="s">
        <v>27</v>
      </c>
      <c r="B930" s="3" t="s">
        <v>7</v>
      </c>
      <c r="C930" t="s">
        <v>28</v>
      </c>
      <c r="D930">
        <v>0</v>
      </c>
      <c r="E930" s="3" t="s">
        <v>11</v>
      </c>
      <c r="F930" s="3" t="s">
        <v>12</v>
      </c>
      <c r="G930">
        <v>13470.8</v>
      </c>
    </row>
    <row r="931" spans="1:7" x14ac:dyDescent="0.25">
      <c r="A931" t="s">
        <v>32</v>
      </c>
      <c r="B931" s="3" t="s">
        <v>10</v>
      </c>
      <c r="C931" t="s">
        <v>20</v>
      </c>
      <c r="D931">
        <v>1</v>
      </c>
      <c r="E931" s="3" t="s">
        <v>11</v>
      </c>
      <c r="F931" s="3" t="s">
        <v>12</v>
      </c>
      <c r="G931">
        <v>6289.75</v>
      </c>
    </row>
    <row r="932" spans="1:7" x14ac:dyDescent="0.25">
      <c r="A932" t="s">
        <v>21</v>
      </c>
      <c r="B932" s="3" t="s">
        <v>10</v>
      </c>
      <c r="C932" t="s">
        <v>29</v>
      </c>
      <c r="D932">
        <v>1</v>
      </c>
      <c r="E932" s="3" t="s">
        <v>11</v>
      </c>
      <c r="F932" s="3" t="s">
        <v>12</v>
      </c>
      <c r="G932">
        <v>2927.06</v>
      </c>
    </row>
    <row r="933" spans="1:7" x14ac:dyDescent="0.25">
      <c r="A933" t="s">
        <v>25</v>
      </c>
      <c r="B933" s="3" t="s">
        <v>7</v>
      </c>
      <c r="C933" t="s">
        <v>20</v>
      </c>
      <c r="D933">
        <v>1</v>
      </c>
      <c r="E933" s="3" t="s">
        <v>11</v>
      </c>
      <c r="F933" s="3" t="s">
        <v>9</v>
      </c>
      <c r="G933">
        <v>6238.3</v>
      </c>
    </row>
    <row r="934" spans="1:7" x14ac:dyDescent="0.25">
      <c r="A934" t="s">
        <v>24</v>
      </c>
      <c r="B934" s="3" t="s">
        <v>10</v>
      </c>
      <c r="C934" t="s">
        <v>18</v>
      </c>
      <c r="D934">
        <v>5</v>
      </c>
      <c r="E934" s="3" t="s">
        <v>11</v>
      </c>
      <c r="F934" s="3" t="s">
        <v>9</v>
      </c>
      <c r="G934">
        <v>10096.969999999999</v>
      </c>
    </row>
    <row r="935" spans="1:7" x14ac:dyDescent="0.25">
      <c r="A935" t="s">
        <v>32</v>
      </c>
      <c r="B935" s="3" t="s">
        <v>7</v>
      </c>
      <c r="C935" t="s">
        <v>28</v>
      </c>
      <c r="D935">
        <v>0</v>
      </c>
      <c r="E935" s="3" t="s">
        <v>11</v>
      </c>
      <c r="F935" s="3" t="s">
        <v>9</v>
      </c>
      <c r="G935">
        <v>7348.14</v>
      </c>
    </row>
    <row r="936" spans="1:7" x14ac:dyDescent="0.25">
      <c r="A936" t="s">
        <v>22</v>
      </c>
      <c r="B936" s="3" t="s">
        <v>10</v>
      </c>
      <c r="C936" t="s">
        <v>28</v>
      </c>
      <c r="D936">
        <v>2</v>
      </c>
      <c r="E936" s="3" t="s">
        <v>11</v>
      </c>
      <c r="F936" s="3" t="s">
        <v>12</v>
      </c>
      <c r="G936">
        <v>4673.3900000000003</v>
      </c>
    </row>
    <row r="937" spans="1:7" x14ac:dyDescent="0.25">
      <c r="A937" t="s">
        <v>26</v>
      </c>
      <c r="B937" s="3" t="s">
        <v>7</v>
      </c>
      <c r="C937" t="s">
        <v>18</v>
      </c>
      <c r="D937">
        <v>0</v>
      </c>
      <c r="E937" s="3" t="s">
        <v>11</v>
      </c>
      <c r="F937" s="3" t="s">
        <v>9</v>
      </c>
      <c r="G937">
        <v>12233.83</v>
      </c>
    </row>
    <row r="938" spans="1:7" x14ac:dyDescent="0.25">
      <c r="A938" t="s">
        <v>32</v>
      </c>
      <c r="B938" s="3" t="s">
        <v>10</v>
      </c>
      <c r="C938" t="s">
        <v>18</v>
      </c>
      <c r="D938">
        <v>2</v>
      </c>
      <c r="E938" s="3" t="s">
        <v>11</v>
      </c>
      <c r="F938" s="3" t="s">
        <v>14</v>
      </c>
      <c r="G938">
        <v>32108.66</v>
      </c>
    </row>
    <row r="939" spans="1:7" x14ac:dyDescent="0.25">
      <c r="A939" t="s">
        <v>25</v>
      </c>
      <c r="B939" s="3" t="s">
        <v>7</v>
      </c>
      <c r="C939" t="s">
        <v>23</v>
      </c>
      <c r="D939">
        <v>5</v>
      </c>
      <c r="E939" s="3" t="s">
        <v>11</v>
      </c>
      <c r="F939" s="3" t="s">
        <v>13</v>
      </c>
      <c r="G939">
        <v>8965.7999999999993</v>
      </c>
    </row>
    <row r="940" spans="1:7" x14ac:dyDescent="0.25">
      <c r="A940" t="s">
        <v>19</v>
      </c>
      <c r="B940" s="3" t="s">
        <v>10</v>
      </c>
      <c r="C940" t="s">
        <v>18</v>
      </c>
      <c r="D940">
        <v>2</v>
      </c>
      <c r="E940" s="3" t="s">
        <v>11</v>
      </c>
      <c r="F940" s="3" t="s">
        <v>12</v>
      </c>
      <c r="G940">
        <v>2304</v>
      </c>
    </row>
    <row r="941" spans="1:7" x14ac:dyDescent="0.25">
      <c r="A941" t="s">
        <v>30</v>
      </c>
      <c r="B941" s="3" t="s">
        <v>10</v>
      </c>
      <c r="C941" t="s">
        <v>18</v>
      </c>
      <c r="D941">
        <v>0</v>
      </c>
      <c r="E941" s="3" t="s">
        <v>11</v>
      </c>
      <c r="F941" s="3" t="s">
        <v>12</v>
      </c>
      <c r="G941">
        <v>9487.64</v>
      </c>
    </row>
    <row r="942" spans="1:7" x14ac:dyDescent="0.25">
      <c r="A942" t="s">
        <v>19</v>
      </c>
      <c r="B942" s="3" t="s">
        <v>10</v>
      </c>
      <c r="C942" t="s">
        <v>23</v>
      </c>
      <c r="D942">
        <v>0</v>
      </c>
      <c r="E942" s="3" t="s">
        <v>11</v>
      </c>
      <c r="F942" s="3" t="s">
        <v>12</v>
      </c>
      <c r="G942">
        <v>1121.8699999999999</v>
      </c>
    </row>
    <row r="943" spans="1:7" x14ac:dyDescent="0.25">
      <c r="A943" t="s">
        <v>24</v>
      </c>
      <c r="B943" s="3" t="s">
        <v>7</v>
      </c>
      <c r="C943" t="s">
        <v>29</v>
      </c>
      <c r="D943">
        <v>1</v>
      </c>
      <c r="E943" s="3" t="s">
        <v>11</v>
      </c>
      <c r="F943" s="3" t="s">
        <v>12</v>
      </c>
      <c r="G943">
        <v>9549.57</v>
      </c>
    </row>
    <row r="944" spans="1:7" x14ac:dyDescent="0.25">
      <c r="A944" t="s">
        <v>19</v>
      </c>
      <c r="B944" s="3" t="s">
        <v>7</v>
      </c>
      <c r="C944" t="s">
        <v>29</v>
      </c>
      <c r="D944">
        <v>0</v>
      </c>
      <c r="E944" s="3" t="s">
        <v>11</v>
      </c>
      <c r="F944" s="3" t="s">
        <v>14</v>
      </c>
      <c r="G944">
        <v>2217.4699999999998</v>
      </c>
    </row>
    <row r="945" spans="1:7" x14ac:dyDescent="0.25">
      <c r="A945" t="s">
        <v>17</v>
      </c>
      <c r="B945" s="3" t="s">
        <v>10</v>
      </c>
      <c r="C945" t="s">
        <v>23</v>
      </c>
      <c r="D945">
        <v>0</v>
      </c>
      <c r="E945" s="3" t="s">
        <v>11</v>
      </c>
      <c r="F945" s="3" t="s">
        <v>13</v>
      </c>
      <c r="G945">
        <v>1628.47</v>
      </c>
    </row>
    <row r="946" spans="1:7" x14ac:dyDescent="0.25">
      <c r="A946" t="s">
        <v>27</v>
      </c>
      <c r="B946" s="3" t="s">
        <v>10</v>
      </c>
      <c r="C946" t="s">
        <v>29</v>
      </c>
      <c r="D946">
        <v>0</v>
      </c>
      <c r="E946" s="3" t="s">
        <v>11</v>
      </c>
      <c r="F946" s="3" t="s">
        <v>12</v>
      </c>
      <c r="G946">
        <v>12982.87</v>
      </c>
    </row>
    <row r="947" spans="1:7" x14ac:dyDescent="0.25">
      <c r="A947" t="s">
        <v>26</v>
      </c>
      <c r="B947" s="3" t="s">
        <v>7</v>
      </c>
      <c r="C947" t="s">
        <v>28</v>
      </c>
      <c r="D947">
        <v>1</v>
      </c>
      <c r="E947" s="3" t="s">
        <v>11</v>
      </c>
      <c r="F947" s="3" t="s">
        <v>9</v>
      </c>
      <c r="G947">
        <v>11674.13</v>
      </c>
    </row>
    <row r="948" spans="1:7" x14ac:dyDescent="0.25">
      <c r="A948" t="s">
        <v>32</v>
      </c>
      <c r="B948" s="3" t="s">
        <v>10</v>
      </c>
      <c r="C948" t="s">
        <v>28</v>
      </c>
      <c r="D948">
        <v>2</v>
      </c>
      <c r="E948" s="3" t="s">
        <v>11</v>
      </c>
      <c r="F948" s="3" t="s">
        <v>9</v>
      </c>
      <c r="G948">
        <v>7160.09</v>
      </c>
    </row>
    <row r="949" spans="1:7" x14ac:dyDescent="0.25">
      <c r="A949" t="s">
        <v>25</v>
      </c>
      <c r="B949" s="3" t="s">
        <v>10</v>
      </c>
      <c r="C949" t="s">
        <v>20</v>
      </c>
      <c r="D949">
        <v>1</v>
      </c>
      <c r="E949" s="3" t="s">
        <v>8</v>
      </c>
      <c r="F949" s="3" t="s">
        <v>14</v>
      </c>
      <c r="G949">
        <v>39047.279999999999</v>
      </c>
    </row>
    <row r="950" spans="1:7" x14ac:dyDescent="0.25">
      <c r="A950" t="s">
        <v>32</v>
      </c>
      <c r="B950" s="3" t="s">
        <v>10</v>
      </c>
      <c r="C950" t="s">
        <v>20</v>
      </c>
      <c r="D950">
        <v>0</v>
      </c>
      <c r="E950" s="3" t="s">
        <v>11</v>
      </c>
      <c r="F950" s="3" t="s">
        <v>13</v>
      </c>
      <c r="G950">
        <v>6358.78</v>
      </c>
    </row>
    <row r="951" spans="1:7" x14ac:dyDescent="0.25">
      <c r="A951" t="s">
        <v>17</v>
      </c>
      <c r="B951" s="3" t="s">
        <v>10</v>
      </c>
      <c r="C951" t="s">
        <v>18</v>
      </c>
      <c r="D951">
        <v>3</v>
      </c>
      <c r="E951" s="3" t="s">
        <v>8</v>
      </c>
      <c r="F951" s="3" t="s">
        <v>9</v>
      </c>
      <c r="G951">
        <v>19933.46</v>
      </c>
    </row>
    <row r="952" spans="1:7" x14ac:dyDescent="0.25">
      <c r="A952" t="s">
        <v>26</v>
      </c>
      <c r="B952" s="3" t="s">
        <v>10</v>
      </c>
      <c r="C952" t="s">
        <v>31</v>
      </c>
      <c r="D952">
        <v>0</v>
      </c>
      <c r="E952" s="3" t="s">
        <v>11</v>
      </c>
      <c r="F952" s="3" t="s">
        <v>14</v>
      </c>
      <c r="G952">
        <v>11534.87</v>
      </c>
    </row>
    <row r="953" spans="1:7" x14ac:dyDescent="0.25">
      <c r="A953" t="s">
        <v>30</v>
      </c>
      <c r="B953" s="3" t="s">
        <v>10</v>
      </c>
      <c r="C953" t="s">
        <v>29</v>
      </c>
      <c r="D953">
        <v>2</v>
      </c>
      <c r="E953" s="3" t="s">
        <v>8</v>
      </c>
      <c r="F953" s="3" t="s">
        <v>12</v>
      </c>
      <c r="G953">
        <v>47462.89</v>
      </c>
    </row>
    <row r="954" spans="1:7" x14ac:dyDescent="0.25">
      <c r="A954" t="s">
        <v>21</v>
      </c>
      <c r="B954" s="3" t="s">
        <v>7</v>
      </c>
      <c r="C954" t="s">
        <v>18</v>
      </c>
      <c r="D954">
        <v>1</v>
      </c>
      <c r="E954" s="3" t="s">
        <v>11</v>
      </c>
      <c r="F954" s="3" t="s">
        <v>13</v>
      </c>
      <c r="G954">
        <v>4527.18</v>
      </c>
    </row>
    <row r="955" spans="1:7" x14ac:dyDescent="0.25">
      <c r="A955" t="s">
        <v>32</v>
      </c>
      <c r="B955" s="3" t="s">
        <v>10</v>
      </c>
      <c r="C955" t="s">
        <v>20</v>
      </c>
      <c r="D955">
        <v>2</v>
      </c>
      <c r="E955" s="3" t="s">
        <v>8</v>
      </c>
      <c r="F955" s="3" t="s">
        <v>9</v>
      </c>
      <c r="G955">
        <v>38998.550000000003</v>
      </c>
    </row>
    <row r="956" spans="1:7" x14ac:dyDescent="0.25">
      <c r="A956" t="s">
        <v>22</v>
      </c>
      <c r="B956" s="3" t="s">
        <v>10</v>
      </c>
      <c r="C956" t="s">
        <v>18</v>
      </c>
      <c r="D956">
        <v>1</v>
      </c>
      <c r="E956" s="3" t="s">
        <v>8</v>
      </c>
      <c r="F956" s="3" t="s">
        <v>13</v>
      </c>
      <c r="G956">
        <v>20009.63</v>
      </c>
    </row>
    <row r="957" spans="1:7" x14ac:dyDescent="0.25">
      <c r="A957" t="s">
        <v>22</v>
      </c>
      <c r="B957" s="3" t="s">
        <v>10</v>
      </c>
      <c r="C957" t="s">
        <v>28</v>
      </c>
      <c r="D957">
        <v>1</v>
      </c>
      <c r="E957" s="3" t="s">
        <v>11</v>
      </c>
      <c r="F957" s="3" t="s">
        <v>12</v>
      </c>
      <c r="G957">
        <v>3875.73</v>
      </c>
    </row>
    <row r="958" spans="1:7" x14ac:dyDescent="0.25">
      <c r="A958" t="s">
        <v>30</v>
      </c>
      <c r="B958" s="3" t="s">
        <v>10</v>
      </c>
      <c r="C958" t="s">
        <v>20</v>
      </c>
      <c r="D958">
        <v>1</v>
      </c>
      <c r="E958" s="3" t="s">
        <v>8</v>
      </c>
      <c r="F958" s="3" t="s">
        <v>12</v>
      </c>
      <c r="G958">
        <v>41999.519999999997</v>
      </c>
    </row>
    <row r="959" spans="1:7" x14ac:dyDescent="0.25">
      <c r="A959" t="s">
        <v>17</v>
      </c>
      <c r="B959" s="3" t="s">
        <v>10</v>
      </c>
      <c r="C959" t="s">
        <v>18</v>
      </c>
      <c r="D959">
        <v>1</v>
      </c>
      <c r="E959" s="3" t="s">
        <v>11</v>
      </c>
      <c r="F959" s="3" t="s">
        <v>13</v>
      </c>
      <c r="G959">
        <v>12609.89</v>
      </c>
    </row>
    <row r="960" spans="1:7" x14ac:dyDescent="0.25">
      <c r="A960" t="s">
        <v>32</v>
      </c>
      <c r="B960" s="3" t="s">
        <v>10</v>
      </c>
      <c r="C960" t="s">
        <v>28</v>
      </c>
      <c r="D960">
        <v>1</v>
      </c>
      <c r="E960" s="3" t="s">
        <v>8</v>
      </c>
      <c r="F960" s="3" t="s">
        <v>14</v>
      </c>
      <c r="G960">
        <v>41034.22</v>
      </c>
    </row>
    <row r="961" spans="1:7" x14ac:dyDescent="0.25">
      <c r="A961" t="s">
        <v>24</v>
      </c>
      <c r="B961" s="3" t="s">
        <v>10</v>
      </c>
      <c r="C961" t="s">
        <v>28</v>
      </c>
      <c r="D961">
        <v>1</v>
      </c>
      <c r="E961" s="3" t="s">
        <v>11</v>
      </c>
      <c r="F961" s="3" t="s">
        <v>13</v>
      </c>
      <c r="G961">
        <v>28468.92</v>
      </c>
    </row>
    <row r="962" spans="1:7" x14ac:dyDescent="0.25">
      <c r="A962" t="s">
        <v>17</v>
      </c>
      <c r="B962" s="3" t="s">
        <v>7</v>
      </c>
      <c r="C962" t="s">
        <v>28</v>
      </c>
      <c r="D962">
        <v>1</v>
      </c>
      <c r="E962" s="3" t="s">
        <v>11</v>
      </c>
      <c r="F962" s="3" t="s">
        <v>13</v>
      </c>
      <c r="G962">
        <v>2730.11</v>
      </c>
    </row>
    <row r="963" spans="1:7" x14ac:dyDescent="0.25">
      <c r="A963" t="s">
        <v>21</v>
      </c>
      <c r="B963" s="3" t="s">
        <v>7</v>
      </c>
      <c r="C963" t="s">
        <v>18</v>
      </c>
      <c r="D963">
        <v>0</v>
      </c>
      <c r="E963" s="3" t="s">
        <v>11</v>
      </c>
      <c r="F963" s="3" t="s">
        <v>9</v>
      </c>
      <c r="G963">
        <v>3353.28</v>
      </c>
    </row>
    <row r="964" spans="1:7" x14ac:dyDescent="0.25">
      <c r="A964" t="s">
        <v>27</v>
      </c>
      <c r="B964" s="3" t="s">
        <v>7</v>
      </c>
      <c r="C964" t="s">
        <v>28</v>
      </c>
      <c r="D964">
        <v>1</v>
      </c>
      <c r="E964" s="3" t="s">
        <v>11</v>
      </c>
      <c r="F964" s="3" t="s">
        <v>12</v>
      </c>
      <c r="G964">
        <v>14474.68</v>
      </c>
    </row>
    <row r="965" spans="1:7" x14ac:dyDescent="0.25">
      <c r="A965" t="s">
        <v>24</v>
      </c>
      <c r="B965" s="3" t="s">
        <v>10</v>
      </c>
      <c r="C965" t="s">
        <v>23</v>
      </c>
      <c r="D965">
        <v>3</v>
      </c>
      <c r="E965" s="3" t="s">
        <v>11</v>
      </c>
      <c r="F965" s="3" t="s">
        <v>14</v>
      </c>
      <c r="G965">
        <v>9500.57</v>
      </c>
    </row>
    <row r="966" spans="1:7" x14ac:dyDescent="0.25">
      <c r="A966" t="s">
        <v>30</v>
      </c>
      <c r="B966" s="3" t="s">
        <v>10</v>
      </c>
      <c r="C966" t="s">
        <v>28</v>
      </c>
      <c r="D966">
        <v>2</v>
      </c>
      <c r="E966" s="3" t="s">
        <v>11</v>
      </c>
      <c r="F966" s="3" t="s">
        <v>13</v>
      </c>
      <c r="G966">
        <v>26467.1</v>
      </c>
    </row>
    <row r="967" spans="1:7" x14ac:dyDescent="0.25">
      <c r="A967" t="s">
        <v>22</v>
      </c>
      <c r="B967" s="3" t="s">
        <v>10</v>
      </c>
      <c r="C967" t="s">
        <v>18</v>
      </c>
      <c r="D967">
        <v>1</v>
      </c>
      <c r="E967" s="3" t="s">
        <v>11</v>
      </c>
      <c r="F967" s="3" t="s">
        <v>9</v>
      </c>
      <c r="G967">
        <v>4746.34</v>
      </c>
    </row>
    <row r="968" spans="1:7" x14ac:dyDescent="0.25">
      <c r="A968" t="s">
        <v>30</v>
      </c>
      <c r="B968" s="3" t="s">
        <v>10</v>
      </c>
      <c r="C968" t="s">
        <v>23</v>
      </c>
      <c r="D968">
        <v>2</v>
      </c>
      <c r="E968" s="3" t="s">
        <v>8</v>
      </c>
      <c r="F968" s="3" t="s">
        <v>13</v>
      </c>
      <c r="G968">
        <v>23967.38</v>
      </c>
    </row>
    <row r="969" spans="1:7" x14ac:dyDescent="0.25">
      <c r="A969" t="s">
        <v>32</v>
      </c>
      <c r="B969" s="3" t="s">
        <v>10</v>
      </c>
      <c r="C969" t="s">
        <v>18</v>
      </c>
      <c r="D969">
        <v>1</v>
      </c>
      <c r="E969" s="3" t="s">
        <v>11</v>
      </c>
      <c r="F969" s="3" t="s">
        <v>13</v>
      </c>
      <c r="G969">
        <v>7518.03</v>
      </c>
    </row>
    <row r="970" spans="1:7" x14ac:dyDescent="0.25">
      <c r="A970" t="s">
        <v>17</v>
      </c>
      <c r="B970" s="3" t="s">
        <v>10</v>
      </c>
      <c r="C970" t="s">
        <v>18</v>
      </c>
      <c r="D970">
        <v>2</v>
      </c>
      <c r="E970" s="3" t="s">
        <v>11</v>
      </c>
      <c r="F970" s="3" t="s">
        <v>14</v>
      </c>
      <c r="G970">
        <v>3279.87</v>
      </c>
    </row>
    <row r="971" spans="1:7" x14ac:dyDescent="0.25">
      <c r="A971" t="s">
        <v>25</v>
      </c>
      <c r="B971" s="3" t="s">
        <v>7</v>
      </c>
      <c r="C971" t="s">
        <v>20</v>
      </c>
      <c r="D971">
        <v>5</v>
      </c>
      <c r="E971" s="3" t="s">
        <v>11</v>
      </c>
      <c r="F971" s="3" t="s">
        <v>12</v>
      </c>
      <c r="G971">
        <v>8596.83</v>
      </c>
    </row>
    <row r="972" spans="1:7" x14ac:dyDescent="0.25">
      <c r="A972" t="s">
        <v>24</v>
      </c>
      <c r="B972" s="3" t="s">
        <v>7</v>
      </c>
      <c r="C972" t="s">
        <v>18</v>
      </c>
      <c r="D972">
        <v>3</v>
      </c>
      <c r="E972" s="3" t="s">
        <v>11</v>
      </c>
      <c r="F972" s="3" t="s">
        <v>12</v>
      </c>
      <c r="G972">
        <v>10702.64</v>
      </c>
    </row>
    <row r="973" spans="1:7" x14ac:dyDescent="0.25">
      <c r="A973" t="s">
        <v>22</v>
      </c>
      <c r="B973" s="3" t="s">
        <v>7</v>
      </c>
      <c r="C973" t="s">
        <v>23</v>
      </c>
      <c r="D973">
        <v>0</v>
      </c>
      <c r="E973" s="3" t="s">
        <v>11</v>
      </c>
      <c r="F973" s="3" t="s">
        <v>14</v>
      </c>
      <c r="G973">
        <v>4992.38</v>
      </c>
    </row>
    <row r="974" spans="1:7" x14ac:dyDescent="0.25">
      <c r="A974" t="s">
        <v>17</v>
      </c>
      <c r="B974" s="3" t="s">
        <v>7</v>
      </c>
      <c r="C974" t="s">
        <v>23</v>
      </c>
      <c r="D974">
        <v>0</v>
      </c>
      <c r="E974" s="3" t="s">
        <v>11</v>
      </c>
      <c r="F974" s="3" t="s">
        <v>13</v>
      </c>
      <c r="G974">
        <v>2527.8200000000002</v>
      </c>
    </row>
    <row r="975" spans="1:7" x14ac:dyDescent="0.25">
      <c r="A975" t="s">
        <v>17</v>
      </c>
      <c r="B975" s="3" t="s">
        <v>7</v>
      </c>
      <c r="C975" t="s">
        <v>29</v>
      </c>
      <c r="D975">
        <v>0</v>
      </c>
      <c r="E975" s="3" t="s">
        <v>11</v>
      </c>
      <c r="F975" s="3" t="s">
        <v>9</v>
      </c>
      <c r="G975">
        <v>1759.34</v>
      </c>
    </row>
    <row r="976" spans="1:7" x14ac:dyDescent="0.25">
      <c r="A976" t="s">
        <v>21</v>
      </c>
      <c r="B976" s="3" t="s">
        <v>10</v>
      </c>
      <c r="C976" t="s">
        <v>28</v>
      </c>
      <c r="D976">
        <v>0</v>
      </c>
      <c r="E976" s="3" t="s">
        <v>11</v>
      </c>
      <c r="F976" s="3" t="s">
        <v>12</v>
      </c>
      <c r="G976">
        <v>2322.62</v>
      </c>
    </row>
    <row r="977" spans="1:7" x14ac:dyDescent="0.25">
      <c r="A977" t="s">
        <v>21</v>
      </c>
      <c r="B977" s="3" t="s">
        <v>10</v>
      </c>
      <c r="C977" t="s">
        <v>23</v>
      </c>
      <c r="D977">
        <v>0</v>
      </c>
      <c r="E977" s="3" t="s">
        <v>8</v>
      </c>
      <c r="F977" s="3" t="s">
        <v>14</v>
      </c>
      <c r="G977">
        <v>16138.76</v>
      </c>
    </row>
    <row r="978" spans="1:7" x14ac:dyDescent="0.25">
      <c r="A978" t="s">
        <v>24</v>
      </c>
      <c r="B978" s="3" t="s">
        <v>10</v>
      </c>
      <c r="C978" t="s">
        <v>29</v>
      </c>
      <c r="D978">
        <v>0</v>
      </c>
      <c r="E978" s="3" t="s">
        <v>11</v>
      </c>
      <c r="F978" s="3" t="s">
        <v>12</v>
      </c>
      <c r="G978">
        <v>7804.16</v>
      </c>
    </row>
    <row r="979" spans="1:7" x14ac:dyDescent="0.25">
      <c r="A979" t="s">
        <v>21</v>
      </c>
      <c r="B979" s="3" t="s">
        <v>10</v>
      </c>
      <c r="C979" t="s">
        <v>18</v>
      </c>
      <c r="D979">
        <v>1</v>
      </c>
      <c r="E979" s="3" t="s">
        <v>11</v>
      </c>
      <c r="F979" s="3" t="s">
        <v>12</v>
      </c>
      <c r="G979">
        <v>2902.91</v>
      </c>
    </row>
    <row r="980" spans="1:7" x14ac:dyDescent="0.25">
      <c r="A980" t="s">
        <v>32</v>
      </c>
      <c r="B980" s="3" t="s">
        <v>7</v>
      </c>
      <c r="C980" t="s">
        <v>29</v>
      </c>
      <c r="D980">
        <v>3</v>
      </c>
      <c r="E980" s="3" t="s">
        <v>11</v>
      </c>
      <c r="F980" s="3" t="s">
        <v>14</v>
      </c>
      <c r="G980">
        <v>9704.67</v>
      </c>
    </row>
    <row r="981" spans="1:7" x14ac:dyDescent="0.25">
      <c r="A981" t="s">
        <v>25</v>
      </c>
      <c r="B981" s="3" t="s">
        <v>7</v>
      </c>
      <c r="C981" t="s">
        <v>20</v>
      </c>
      <c r="D981">
        <v>0</v>
      </c>
      <c r="E981" s="3" t="s">
        <v>11</v>
      </c>
      <c r="F981" s="3" t="s">
        <v>12</v>
      </c>
      <c r="G981">
        <v>4889.04</v>
      </c>
    </row>
    <row r="982" spans="1:7" x14ac:dyDescent="0.25">
      <c r="A982" t="s">
        <v>30</v>
      </c>
      <c r="B982" s="3" t="s">
        <v>10</v>
      </c>
      <c r="C982" t="s">
        <v>18</v>
      </c>
      <c r="D982">
        <v>1</v>
      </c>
      <c r="E982" s="3" t="s">
        <v>11</v>
      </c>
      <c r="F982" s="3" t="s">
        <v>14</v>
      </c>
      <c r="G982">
        <v>25517.11</v>
      </c>
    </row>
    <row r="983" spans="1:7" x14ac:dyDescent="0.25">
      <c r="A983" t="s">
        <v>22</v>
      </c>
      <c r="B983" s="3" t="s">
        <v>10</v>
      </c>
      <c r="C983" t="s">
        <v>23</v>
      </c>
      <c r="D983">
        <v>0</v>
      </c>
      <c r="E983" s="3" t="s">
        <v>11</v>
      </c>
      <c r="F983" s="3" t="s">
        <v>14</v>
      </c>
      <c r="G983">
        <v>4500.34</v>
      </c>
    </row>
    <row r="984" spans="1:7" x14ac:dyDescent="0.25">
      <c r="A984" t="s">
        <v>22</v>
      </c>
      <c r="B984" s="3" t="s">
        <v>10</v>
      </c>
      <c r="C984" t="s">
        <v>18</v>
      </c>
      <c r="D984">
        <v>3</v>
      </c>
      <c r="E984" s="3" t="s">
        <v>8</v>
      </c>
      <c r="F984" s="3" t="s">
        <v>9</v>
      </c>
      <c r="G984">
        <v>19199.939999999999</v>
      </c>
    </row>
    <row r="985" spans="1:7" x14ac:dyDescent="0.25">
      <c r="A985" t="s">
        <v>21</v>
      </c>
      <c r="B985" s="3" t="s">
        <v>7</v>
      </c>
      <c r="C985" t="s">
        <v>20</v>
      </c>
      <c r="D985">
        <v>1</v>
      </c>
      <c r="E985" s="3" t="s">
        <v>11</v>
      </c>
      <c r="F985" s="3" t="s">
        <v>14</v>
      </c>
      <c r="G985">
        <v>16796.41</v>
      </c>
    </row>
    <row r="986" spans="1:7" x14ac:dyDescent="0.25">
      <c r="A986" t="s">
        <v>17</v>
      </c>
      <c r="B986" s="3" t="s">
        <v>10</v>
      </c>
      <c r="C986" t="s">
        <v>20</v>
      </c>
      <c r="D986">
        <v>5</v>
      </c>
      <c r="E986" s="3" t="s">
        <v>11</v>
      </c>
      <c r="F986" s="3" t="s">
        <v>14</v>
      </c>
      <c r="G986">
        <v>4915.0600000000004</v>
      </c>
    </row>
    <row r="987" spans="1:7" x14ac:dyDescent="0.25">
      <c r="A987" t="s">
        <v>32</v>
      </c>
      <c r="B987" s="3" t="s">
        <v>7</v>
      </c>
      <c r="C987" t="s">
        <v>18</v>
      </c>
      <c r="D987">
        <v>1</v>
      </c>
      <c r="E987" s="3" t="s">
        <v>11</v>
      </c>
      <c r="F987" s="3" t="s">
        <v>9</v>
      </c>
      <c r="G987">
        <v>7624.63</v>
      </c>
    </row>
    <row r="988" spans="1:7" x14ac:dyDescent="0.25">
      <c r="A988" t="s">
        <v>32</v>
      </c>
      <c r="B988" s="3" t="s">
        <v>10</v>
      </c>
      <c r="C988" t="s">
        <v>20</v>
      </c>
      <c r="D988">
        <v>3</v>
      </c>
      <c r="E988" s="3" t="s">
        <v>11</v>
      </c>
      <c r="F988" s="3" t="s">
        <v>13</v>
      </c>
      <c r="G988">
        <v>8410.0499999999993</v>
      </c>
    </row>
    <row r="989" spans="1:7" x14ac:dyDescent="0.25">
      <c r="A989" t="s">
        <v>32</v>
      </c>
      <c r="B989" s="3" t="s">
        <v>7</v>
      </c>
      <c r="C989" t="s">
        <v>18</v>
      </c>
      <c r="D989">
        <v>1</v>
      </c>
      <c r="E989" s="3" t="s">
        <v>11</v>
      </c>
      <c r="F989" s="3" t="s">
        <v>13</v>
      </c>
      <c r="G989">
        <v>28340.19</v>
      </c>
    </row>
    <row r="990" spans="1:7" x14ac:dyDescent="0.25">
      <c r="A990" t="s">
        <v>22</v>
      </c>
      <c r="B990" s="3" t="s">
        <v>10</v>
      </c>
      <c r="C990" t="s">
        <v>20</v>
      </c>
      <c r="D990">
        <v>0</v>
      </c>
      <c r="E990" s="3" t="s">
        <v>11</v>
      </c>
      <c r="F990" s="3" t="s">
        <v>14</v>
      </c>
      <c r="G990">
        <v>4518.83</v>
      </c>
    </row>
    <row r="991" spans="1:7" x14ac:dyDescent="0.25">
      <c r="A991" t="s">
        <v>17</v>
      </c>
      <c r="B991" s="3" t="s">
        <v>7</v>
      </c>
      <c r="C991" t="s">
        <v>23</v>
      </c>
      <c r="D991">
        <v>0</v>
      </c>
      <c r="E991" s="3" t="s">
        <v>8</v>
      </c>
      <c r="F991" s="3" t="s">
        <v>14</v>
      </c>
      <c r="G991">
        <v>14571.89</v>
      </c>
    </row>
    <row r="992" spans="1:7" x14ac:dyDescent="0.25">
      <c r="A992" t="s">
        <v>21</v>
      </c>
      <c r="B992" s="3" t="s">
        <v>7</v>
      </c>
      <c r="C992" t="s">
        <v>23</v>
      </c>
      <c r="D992">
        <v>1</v>
      </c>
      <c r="E992" s="3" t="s">
        <v>11</v>
      </c>
      <c r="F992" s="3" t="s">
        <v>9</v>
      </c>
      <c r="G992">
        <v>3378.91</v>
      </c>
    </row>
    <row r="993" spans="1:7" x14ac:dyDescent="0.25">
      <c r="A993" t="s">
        <v>25</v>
      </c>
      <c r="B993" s="3" t="s">
        <v>7</v>
      </c>
      <c r="C993" t="s">
        <v>18</v>
      </c>
      <c r="D993">
        <v>2</v>
      </c>
      <c r="E993" s="3" t="s">
        <v>11</v>
      </c>
      <c r="F993" s="3" t="s">
        <v>14</v>
      </c>
      <c r="G993">
        <v>7144.86</v>
      </c>
    </row>
    <row r="994" spans="1:7" x14ac:dyDescent="0.25">
      <c r="A994" t="s">
        <v>24</v>
      </c>
      <c r="B994" s="3" t="s">
        <v>7</v>
      </c>
      <c r="C994" t="s">
        <v>20</v>
      </c>
      <c r="D994">
        <v>2</v>
      </c>
      <c r="E994" s="3" t="s">
        <v>11</v>
      </c>
      <c r="F994" s="3" t="s">
        <v>9</v>
      </c>
      <c r="G994">
        <v>10118.42</v>
      </c>
    </row>
    <row r="995" spans="1:7" x14ac:dyDescent="0.25">
      <c r="A995" t="s">
        <v>25</v>
      </c>
      <c r="B995" s="3" t="s">
        <v>10</v>
      </c>
      <c r="C995" t="s">
        <v>18</v>
      </c>
      <c r="D995">
        <v>1</v>
      </c>
      <c r="E995" s="3" t="s">
        <v>11</v>
      </c>
      <c r="F995" s="3" t="s">
        <v>12</v>
      </c>
      <c r="G995">
        <v>5484.47</v>
      </c>
    </row>
    <row r="996" spans="1:7" x14ac:dyDescent="0.25">
      <c r="A996" t="s">
        <v>21</v>
      </c>
      <c r="B996" s="3" t="s">
        <v>7</v>
      </c>
      <c r="C996" t="s">
        <v>23</v>
      </c>
      <c r="D996">
        <v>3</v>
      </c>
      <c r="E996" s="3" t="s">
        <v>8</v>
      </c>
      <c r="F996" s="3" t="s">
        <v>13</v>
      </c>
      <c r="G996">
        <v>16420.490000000002</v>
      </c>
    </row>
    <row r="997" spans="1:7" x14ac:dyDescent="0.25">
      <c r="A997" t="s">
        <v>25</v>
      </c>
      <c r="B997" s="3" t="s">
        <v>7</v>
      </c>
      <c r="C997" t="s">
        <v>23</v>
      </c>
      <c r="D997">
        <v>3</v>
      </c>
      <c r="E997" s="3" t="s">
        <v>11</v>
      </c>
      <c r="F997" s="3" t="s">
        <v>14</v>
      </c>
      <c r="G997">
        <v>7986.48</v>
      </c>
    </row>
    <row r="998" spans="1:7" x14ac:dyDescent="0.25">
      <c r="A998" t="s">
        <v>25</v>
      </c>
      <c r="B998" s="3" t="s">
        <v>7</v>
      </c>
      <c r="C998" t="s">
        <v>20</v>
      </c>
      <c r="D998">
        <v>3</v>
      </c>
      <c r="E998" s="3" t="s">
        <v>11</v>
      </c>
      <c r="F998" s="3" t="s">
        <v>9</v>
      </c>
      <c r="G998">
        <v>7418.52</v>
      </c>
    </row>
    <row r="999" spans="1:7" x14ac:dyDescent="0.25">
      <c r="A999" t="s">
        <v>27</v>
      </c>
      <c r="B999" s="3" t="s">
        <v>7</v>
      </c>
      <c r="C999" t="s">
        <v>28</v>
      </c>
      <c r="D999">
        <v>0</v>
      </c>
      <c r="E999" s="3" t="s">
        <v>11</v>
      </c>
      <c r="F999" s="3" t="s">
        <v>12</v>
      </c>
      <c r="G999">
        <v>13887.97</v>
      </c>
    </row>
    <row r="1000" spans="1:7" x14ac:dyDescent="0.25">
      <c r="A1000" t="s">
        <v>22</v>
      </c>
      <c r="B1000" s="3" t="s">
        <v>7</v>
      </c>
      <c r="C1000" t="s">
        <v>28</v>
      </c>
      <c r="D1000">
        <v>3</v>
      </c>
      <c r="E1000" s="3" t="s">
        <v>11</v>
      </c>
      <c r="F1000" s="3" t="s">
        <v>14</v>
      </c>
      <c r="G1000">
        <v>6551.75</v>
      </c>
    </row>
    <row r="1001" spans="1:7" x14ac:dyDescent="0.25">
      <c r="A1001" t="s">
        <v>25</v>
      </c>
      <c r="B1001" s="3" t="s">
        <v>7</v>
      </c>
      <c r="C1001" t="s">
        <v>18</v>
      </c>
      <c r="D1001">
        <v>0</v>
      </c>
      <c r="E1001" s="3" t="s">
        <v>11</v>
      </c>
      <c r="F1001" s="3" t="s">
        <v>13</v>
      </c>
      <c r="G1001">
        <v>5267.82</v>
      </c>
    </row>
    <row r="1002" spans="1:7" x14ac:dyDescent="0.25">
      <c r="A1002" t="s">
        <v>21</v>
      </c>
      <c r="B1002" s="3" t="s">
        <v>10</v>
      </c>
      <c r="C1002" t="s">
        <v>23</v>
      </c>
      <c r="D1002">
        <v>2</v>
      </c>
      <c r="E1002" s="3" t="s">
        <v>8</v>
      </c>
      <c r="F1002" s="3" t="s">
        <v>13</v>
      </c>
      <c r="G1002">
        <v>17361.77</v>
      </c>
    </row>
    <row r="1003" spans="1:7" x14ac:dyDescent="0.25">
      <c r="A1003" t="s">
        <v>17</v>
      </c>
      <c r="B1003" s="3" t="s">
        <v>10</v>
      </c>
      <c r="C1003" t="s">
        <v>20</v>
      </c>
      <c r="D1003">
        <v>0</v>
      </c>
      <c r="E1003" s="3" t="s">
        <v>8</v>
      </c>
      <c r="F1003" s="3" t="s">
        <v>9</v>
      </c>
      <c r="G1003">
        <v>34472.839999999997</v>
      </c>
    </row>
    <row r="1004" spans="1:7" x14ac:dyDescent="0.25">
      <c r="A1004" t="s">
        <v>17</v>
      </c>
      <c r="B1004" s="3" t="s">
        <v>10</v>
      </c>
      <c r="C1004" t="s">
        <v>18</v>
      </c>
      <c r="D1004">
        <v>0</v>
      </c>
      <c r="E1004" s="3" t="s">
        <v>11</v>
      </c>
      <c r="F1004" s="3" t="s">
        <v>9</v>
      </c>
      <c r="G1004">
        <v>1972.95</v>
      </c>
    </row>
    <row r="1005" spans="1:7" x14ac:dyDescent="0.25">
      <c r="A1005" t="s">
        <v>24</v>
      </c>
      <c r="B1005" s="3" t="s">
        <v>10</v>
      </c>
      <c r="C1005" t="s">
        <v>18</v>
      </c>
      <c r="D1005">
        <v>0</v>
      </c>
      <c r="E1005" s="3" t="s">
        <v>11</v>
      </c>
      <c r="F1005" s="3" t="s">
        <v>9</v>
      </c>
      <c r="G1005">
        <v>21232.18</v>
      </c>
    </row>
    <row r="1006" spans="1:7" x14ac:dyDescent="0.25">
      <c r="A1006" t="s">
        <v>24</v>
      </c>
      <c r="B1006" s="3" t="s">
        <v>10</v>
      </c>
      <c r="C1006" t="s">
        <v>23</v>
      </c>
      <c r="D1006">
        <v>1</v>
      </c>
      <c r="E1006" s="3" t="s">
        <v>11</v>
      </c>
      <c r="F1006" s="3" t="s">
        <v>14</v>
      </c>
      <c r="G1006">
        <v>8627.5400000000009</v>
      </c>
    </row>
    <row r="1007" spans="1:7" x14ac:dyDescent="0.25">
      <c r="A1007" t="s">
        <v>21</v>
      </c>
      <c r="B1007" s="3" t="s">
        <v>10</v>
      </c>
      <c r="C1007" t="s">
        <v>20</v>
      </c>
      <c r="D1007">
        <v>2</v>
      </c>
      <c r="E1007" s="3" t="s">
        <v>11</v>
      </c>
      <c r="F1007" s="3" t="s">
        <v>13</v>
      </c>
      <c r="G1007">
        <v>4433.3900000000003</v>
      </c>
    </row>
    <row r="1008" spans="1:7" x14ac:dyDescent="0.25">
      <c r="A1008" t="s">
        <v>21</v>
      </c>
      <c r="B1008" s="3" t="s">
        <v>10</v>
      </c>
      <c r="C1008" t="s">
        <v>18</v>
      </c>
      <c r="D1008">
        <v>2</v>
      </c>
      <c r="E1008" s="3" t="s">
        <v>11</v>
      </c>
      <c r="F1008" s="3" t="s">
        <v>14</v>
      </c>
      <c r="G1008">
        <v>4438.26</v>
      </c>
    </row>
    <row r="1009" spans="1:7" x14ac:dyDescent="0.25">
      <c r="A1009" t="s">
        <v>24</v>
      </c>
      <c r="B1009" s="3" t="s">
        <v>10</v>
      </c>
      <c r="C1009" t="s">
        <v>18</v>
      </c>
      <c r="D1009">
        <v>3</v>
      </c>
      <c r="E1009" s="3" t="s">
        <v>8</v>
      </c>
      <c r="F1009" s="3" t="s">
        <v>13</v>
      </c>
      <c r="G1009">
        <v>24915.22</v>
      </c>
    </row>
    <row r="1010" spans="1:7" x14ac:dyDescent="0.25">
      <c r="A1010" t="s">
        <v>17</v>
      </c>
      <c r="B1010" s="3" t="s">
        <v>10</v>
      </c>
      <c r="C1010" t="s">
        <v>18</v>
      </c>
      <c r="D1010">
        <v>2</v>
      </c>
      <c r="E1010" s="3" t="s">
        <v>11</v>
      </c>
      <c r="F1010" s="3" t="s">
        <v>14</v>
      </c>
      <c r="G1010">
        <v>23241.47</v>
      </c>
    </row>
    <row r="1011" spans="1:7" x14ac:dyDescent="0.25">
      <c r="A1011" t="s">
        <v>30</v>
      </c>
      <c r="B1011" s="3" t="s">
        <v>10</v>
      </c>
      <c r="C1011" t="s">
        <v>18</v>
      </c>
      <c r="D1011">
        <v>1</v>
      </c>
      <c r="E1011" s="3" t="s">
        <v>11</v>
      </c>
      <c r="F1011" s="3" t="s">
        <v>14</v>
      </c>
      <c r="G1011">
        <v>9957.7199999999993</v>
      </c>
    </row>
    <row r="1012" spans="1:7" x14ac:dyDescent="0.25">
      <c r="A1012" t="s">
        <v>24</v>
      </c>
      <c r="B1012" s="3" t="s">
        <v>7</v>
      </c>
      <c r="C1012" t="s">
        <v>23</v>
      </c>
      <c r="D1012">
        <v>0</v>
      </c>
      <c r="E1012" s="3" t="s">
        <v>11</v>
      </c>
      <c r="F1012" s="3" t="s">
        <v>9</v>
      </c>
      <c r="G1012">
        <v>8269.0400000000009</v>
      </c>
    </row>
    <row r="1013" spans="1:7" x14ac:dyDescent="0.25">
      <c r="A1013" t="s">
        <v>32</v>
      </c>
      <c r="B1013" s="3" t="s">
        <v>10</v>
      </c>
      <c r="C1013" t="s">
        <v>23</v>
      </c>
      <c r="D1013">
        <v>2</v>
      </c>
      <c r="E1013" s="3" t="s">
        <v>8</v>
      </c>
      <c r="F1013" s="3" t="s">
        <v>12</v>
      </c>
      <c r="G1013">
        <v>18767.740000000002</v>
      </c>
    </row>
    <row r="1014" spans="1:7" x14ac:dyDescent="0.25">
      <c r="A1014" t="s">
        <v>27</v>
      </c>
      <c r="B1014" s="3" t="s">
        <v>7</v>
      </c>
      <c r="C1014" t="s">
        <v>20</v>
      </c>
      <c r="D1014">
        <v>4</v>
      </c>
      <c r="E1014" s="3" t="s">
        <v>11</v>
      </c>
      <c r="F1014" s="3" t="s">
        <v>12</v>
      </c>
      <c r="G1014">
        <v>36580.28</v>
      </c>
    </row>
    <row r="1015" spans="1:7" x14ac:dyDescent="0.25">
      <c r="A1015" t="s">
        <v>24</v>
      </c>
      <c r="B1015" s="3" t="s">
        <v>10</v>
      </c>
      <c r="C1015" t="s">
        <v>20</v>
      </c>
      <c r="D1015">
        <v>1</v>
      </c>
      <c r="E1015" s="3" t="s">
        <v>11</v>
      </c>
      <c r="F1015" s="3" t="s">
        <v>13</v>
      </c>
      <c r="G1015">
        <v>8765.25</v>
      </c>
    </row>
    <row r="1016" spans="1:7" x14ac:dyDescent="0.25">
      <c r="A1016" t="s">
        <v>25</v>
      </c>
      <c r="B1016" s="3" t="s">
        <v>7</v>
      </c>
      <c r="C1016" t="s">
        <v>18</v>
      </c>
      <c r="D1016">
        <v>0</v>
      </c>
      <c r="E1016" s="3" t="s">
        <v>11</v>
      </c>
      <c r="F1016" s="3" t="s">
        <v>9</v>
      </c>
      <c r="G1016">
        <v>5383.54</v>
      </c>
    </row>
    <row r="1017" spans="1:7" x14ac:dyDescent="0.25">
      <c r="A1017" t="s">
        <v>26</v>
      </c>
      <c r="B1017" s="3" t="s">
        <v>10</v>
      </c>
      <c r="C1017" t="s">
        <v>18</v>
      </c>
      <c r="D1017">
        <v>0</v>
      </c>
      <c r="E1017" s="3" t="s">
        <v>11</v>
      </c>
      <c r="F1017" s="3" t="s">
        <v>13</v>
      </c>
      <c r="G1017">
        <v>12124.99</v>
      </c>
    </row>
    <row r="1018" spans="1:7" x14ac:dyDescent="0.25">
      <c r="A1018" t="s">
        <v>17</v>
      </c>
      <c r="B1018" s="3" t="s">
        <v>7</v>
      </c>
      <c r="C1018" t="s">
        <v>23</v>
      </c>
      <c r="D1018">
        <v>1</v>
      </c>
      <c r="E1018" s="3" t="s">
        <v>11</v>
      </c>
      <c r="F1018" s="3" t="s">
        <v>13</v>
      </c>
      <c r="G1018">
        <v>2709.24</v>
      </c>
    </row>
    <row r="1019" spans="1:7" x14ac:dyDescent="0.25">
      <c r="A1019" t="s">
        <v>21</v>
      </c>
      <c r="B1019" s="3" t="s">
        <v>7</v>
      </c>
      <c r="C1019" t="s">
        <v>20</v>
      </c>
      <c r="D1019">
        <v>2</v>
      </c>
      <c r="E1019" s="3" t="s">
        <v>11</v>
      </c>
      <c r="F1019" s="3" t="s">
        <v>9</v>
      </c>
      <c r="G1019">
        <v>3987.93</v>
      </c>
    </row>
    <row r="1020" spans="1:7" x14ac:dyDescent="0.25">
      <c r="A1020" t="s">
        <v>30</v>
      </c>
      <c r="B1020" s="3" t="s">
        <v>7</v>
      </c>
      <c r="C1020" t="s">
        <v>28</v>
      </c>
      <c r="D1020">
        <v>3</v>
      </c>
      <c r="E1020" s="3" t="s">
        <v>11</v>
      </c>
      <c r="F1020" s="3" t="s">
        <v>13</v>
      </c>
      <c r="G1020">
        <v>12495.29</v>
      </c>
    </row>
    <row r="1021" spans="1:7" x14ac:dyDescent="0.25">
      <c r="A1021" t="s">
        <v>17</v>
      </c>
      <c r="B1021" s="3" t="s">
        <v>7</v>
      </c>
      <c r="C1021" t="s">
        <v>20</v>
      </c>
      <c r="D1021">
        <v>2</v>
      </c>
      <c r="E1021" s="3" t="s">
        <v>11</v>
      </c>
      <c r="F1021" s="3" t="s">
        <v>13</v>
      </c>
      <c r="G1021">
        <v>26018.95</v>
      </c>
    </row>
    <row r="1022" spans="1:7" x14ac:dyDescent="0.25">
      <c r="A1022" t="s">
        <v>30</v>
      </c>
      <c r="B1022" s="3" t="s">
        <v>10</v>
      </c>
      <c r="C1022" t="s">
        <v>28</v>
      </c>
      <c r="D1022">
        <v>0</v>
      </c>
      <c r="E1022" s="3" t="s">
        <v>11</v>
      </c>
      <c r="F1022" s="3" t="s">
        <v>9</v>
      </c>
      <c r="G1022">
        <v>8798.59</v>
      </c>
    </row>
    <row r="1023" spans="1:7" x14ac:dyDescent="0.25">
      <c r="A1023" t="s">
        <v>17</v>
      </c>
      <c r="B1023" s="3" t="s">
        <v>7</v>
      </c>
      <c r="C1023" t="s">
        <v>20</v>
      </c>
      <c r="D1023">
        <v>3</v>
      </c>
      <c r="E1023" s="3" t="s">
        <v>8</v>
      </c>
      <c r="F1023" s="3" t="s">
        <v>12</v>
      </c>
      <c r="G1023">
        <v>35595.589999999997</v>
      </c>
    </row>
    <row r="1024" spans="1:7" x14ac:dyDescent="0.25">
      <c r="A1024" t="s">
        <v>24</v>
      </c>
      <c r="B1024" s="3" t="s">
        <v>10</v>
      </c>
      <c r="C1024" t="s">
        <v>28</v>
      </c>
      <c r="D1024">
        <v>1</v>
      </c>
      <c r="E1024" s="3" t="s">
        <v>8</v>
      </c>
      <c r="F1024" s="3" t="s">
        <v>12</v>
      </c>
      <c r="G1024">
        <v>42211.14</v>
      </c>
    </row>
    <row r="1025" spans="1:7" x14ac:dyDescent="0.25">
      <c r="A1025" t="s">
        <v>19</v>
      </c>
      <c r="B1025" s="3" t="s">
        <v>10</v>
      </c>
      <c r="C1025" t="s">
        <v>23</v>
      </c>
      <c r="D1025">
        <v>1</v>
      </c>
      <c r="E1025" s="3" t="s">
        <v>11</v>
      </c>
      <c r="F1025" s="3" t="s">
        <v>12</v>
      </c>
      <c r="G1025">
        <v>1711.03</v>
      </c>
    </row>
    <row r="1026" spans="1:7" x14ac:dyDescent="0.25">
      <c r="A1026" t="s">
        <v>24</v>
      </c>
      <c r="B1026" s="3" t="s">
        <v>7</v>
      </c>
      <c r="C1026" t="s">
        <v>29</v>
      </c>
      <c r="D1026">
        <v>1</v>
      </c>
      <c r="E1026" s="3" t="s">
        <v>11</v>
      </c>
      <c r="F1026" s="3" t="s">
        <v>12</v>
      </c>
      <c r="G1026">
        <v>8569.86</v>
      </c>
    </row>
    <row r="1027" spans="1:7" x14ac:dyDescent="0.25">
      <c r="A1027" t="s">
        <v>17</v>
      </c>
      <c r="B1027" s="3" t="s">
        <v>7</v>
      </c>
      <c r="C1027" t="s">
        <v>20</v>
      </c>
      <c r="D1027">
        <v>0</v>
      </c>
      <c r="E1027" s="3" t="s">
        <v>11</v>
      </c>
      <c r="F1027" s="3" t="s">
        <v>9</v>
      </c>
      <c r="G1027">
        <v>2020.18</v>
      </c>
    </row>
    <row r="1028" spans="1:7" x14ac:dyDescent="0.25">
      <c r="A1028" t="s">
        <v>17</v>
      </c>
      <c r="B1028" s="3" t="s">
        <v>10</v>
      </c>
      <c r="C1028" t="s">
        <v>18</v>
      </c>
      <c r="D1028">
        <v>1</v>
      </c>
      <c r="E1028" s="3" t="s">
        <v>8</v>
      </c>
      <c r="F1028" s="3" t="s">
        <v>13</v>
      </c>
      <c r="G1028">
        <v>16450.89</v>
      </c>
    </row>
    <row r="1029" spans="1:7" x14ac:dyDescent="0.25">
      <c r="A1029" t="s">
        <v>17</v>
      </c>
      <c r="B1029" s="3" t="s">
        <v>10</v>
      </c>
      <c r="C1029" t="s">
        <v>23</v>
      </c>
      <c r="D1029">
        <v>0</v>
      </c>
      <c r="E1029" s="3" t="s">
        <v>11</v>
      </c>
      <c r="F1029" s="3" t="s">
        <v>13</v>
      </c>
      <c r="G1029">
        <v>21595.38</v>
      </c>
    </row>
    <row r="1030" spans="1:7" x14ac:dyDescent="0.25">
      <c r="A1030" t="s">
        <v>30</v>
      </c>
      <c r="B1030" s="3" t="s">
        <v>10</v>
      </c>
      <c r="C1030" t="s">
        <v>20</v>
      </c>
      <c r="D1030">
        <v>0</v>
      </c>
      <c r="E1030" s="3" t="s">
        <v>11</v>
      </c>
      <c r="F1030" s="3" t="s">
        <v>9</v>
      </c>
      <c r="G1030">
        <v>9850.43</v>
      </c>
    </row>
    <row r="1031" spans="1:7" x14ac:dyDescent="0.25">
      <c r="A1031" t="s">
        <v>25</v>
      </c>
      <c r="B1031" s="3" t="s">
        <v>7</v>
      </c>
      <c r="C1031" t="s">
        <v>31</v>
      </c>
      <c r="D1031">
        <v>2</v>
      </c>
      <c r="E1031" s="3" t="s">
        <v>11</v>
      </c>
      <c r="F1031" s="3" t="s">
        <v>14</v>
      </c>
      <c r="G1031">
        <v>6877.98</v>
      </c>
    </row>
    <row r="1032" spans="1:7" x14ac:dyDescent="0.25">
      <c r="A1032" t="s">
        <v>24</v>
      </c>
      <c r="B1032" s="3" t="s">
        <v>7</v>
      </c>
      <c r="C1032" t="s">
        <v>23</v>
      </c>
      <c r="D1032">
        <v>1</v>
      </c>
      <c r="E1032" s="3" t="s">
        <v>8</v>
      </c>
      <c r="F1032" s="3" t="s">
        <v>13</v>
      </c>
      <c r="G1032">
        <v>21677.279999999999</v>
      </c>
    </row>
    <row r="1033" spans="1:7" x14ac:dyDescent="0.25">
      <c r="A1033" t="s">
        <v>30</v>
      </c>
      <c r="B1033" s="3" t="s">
        <v>7</v>
      </c>
      <c r="C1033" t="s">
        <v>28</v>
      </c>
      <c r="D1033">
        <v>0</v>
      </c>
      <c r="E1033" s="3" t="s">
        <v>8</v>
      </c>
      <c r="F1033" s="3" t="s">
        <v>12</v>
      </c>
      <c r="G1033">
        <v>44423.8</v>
      </c>
    </row>
    <row r="1034" spans="1:7" x14ac:dyDescent="0.25">
      <c r="A1034" t="s">
        <v>21</v>
      </c>
      <c r="B1034" s="3" t="s">
        <v>7</v>
      </c>
      <c r="C1034" t="s">
        <v>18</v>
      </c>
      <c r="D1034">
        <v>0</v>
      </c>
      <c r="E1034" s="3" t="s">
        <v>11</v>
      </c>
      <c r="F1034" s="3" t="s">
        <v>14</v>
      </c>
      <c r="G1034">
        <v>4137.5200000000004</v>
      </c>
    </row>
    <row r="1035" spans="1:7" x14ac:dyDescent="0.25">
      <c r="A1035" t="s">
        <v>19</v>
      </c>
      <c r="B1035" s="3" t="s">
        <v>10</v>
      </c>
      <c r="C1035" t="s">
        <v>23</v>
      </c>
      <c r="D1035">
        <v>0</v>
      </c>
      <c r="E1035" s="3" t="s">
        <v>8</v>
      </c>
      <c r="F1035" s="3" t="s">
        <v>14</v>
      </c>
      <c r="G1035">
        <v>13747.87</v>
      </c>
    </row>
    <row r="1036" spans="1:7" x14ac:dyDescent="0.25">
      <c r="A1036" t="s">
        <v>27</v>
      </c>
      <c r="B1036" s="3" t="s">
        <v>10</v>
      </c>
      <c r="C1036" t="s">
        <v>28</v>
      </c>
      <c r="D1036">
        <v>0</v>
      </c>
      <c r="E1036" s="3" t="s">
        <v>11</v>
      </c>
      <c r="F1036" s="3" t="s">
        <v>13</v>
      </c>
      <c r="G1036">
        <v>12950.07</v>
      </c>
    </row>
    <row r="1037" spans="1:7" x14ac:dyDescent="0.25">
      <c r="A1037" t="s">
        <v>30</v>
      </c>
      <c r="B1037" s="3" t="s">
        <v>7</v>
      </c>
      <c r="C1037" t="s">
        <v>23</v>
      </c>
      <c r="D1037">
        <v>3</v>
      </c>
      <c r="E1037" s="3" t="s">
        <v>11</v>
      </c>
      <c r="F1037" s="3" t="s">
        <v>9</v>
      </c>
      <c r="G1037">
        <v>12094.48</v>
      </c>
    </row>
    <row r="1038" spans="1:7" x14ac:dyDescent="0.25">
      <c r="A1038" t="s">
        <v>17</v>
      </c>
      <c r="B1038" s="3" t="s">
        <v>10</v>
      </c>
      <c r="C1038" t="s">
        <v>28</v>
      </c>
      <c r="D1038">
        <v>2</v>
      </c>
      <c r="E1038" s="3" t="s">
        <v>8</v>
      </c>
      <c r="F1038" s="3" t="s">
        <v>12</v>
      </c>
      <c r="G1038">
        <v>37484.449999999997</v>
      </c>
    </row>
    <row r="1039" spans="1:7" x14ac:dyDescent="0.25">
      <c r="A1039" t="s">
        <v>32</v>
      </c>
      <c r="B1039" s="3" t="s">
        <v>7</v>
      </c>
      <c r="C1039" t="s">
        <v>20</v>
      </c>
      <c r="D1039">
        <v>1</v>
      </c>
      <c r="E1039" s="3" t="s">
        <v>8</v>
      </c>
      <c r="F1039" s="3" t="s">
        <v>13</v>
      </c>
      <c r="G1039">
        <v>39725.519999999997</v>
      </c>
    </row>
    <row r="1040" spans="1:7" x14ac:dyDescent="0.25">
      <c r="A1040" t="s">
        <v>17</v>
      </c>
      <c r="B1040" s="3" t="s">
        <v>10</v>
      </c>
      <c r="C1040" t="s">
        <v>18</v>
      </c>
      <c r="D1040">
        <v>0</v>
      </c>
      <c r="E1040" s="3" t="s">
        <v>11</v>
      </c>
      <c r="F1040" s="3" t="s">
        <v>14</v>
      </c>
      <c r="G1040">
        <v>2250.84</v>
      </c>
    </row>
    <row r="1041" spans="1:7" x14ac:dyDescent="0.25">
      <c r="A1041" t="s">
        <v>17</v>
      </c>
      <c r="B1041" s="3" t="s">
        <v>10</v>
      </c>
      <c r="C1041" t="s">
        <v>18</v>
      </c>
      <c r="D1041">
        <v>2</v>
      </c>
      <c r="E1041" s="3" t="s">
        <v>11</v>
      </c>
      <c r="F1041" s="3" t="s">
        <v>13</v>
      </c>
      <c r="G1041">
        <v>22493.66</v>
      </c>
    </row>
    <row r="1042" spans="1:7" x14ac:dyDescent="0.25">
      <c r="A1042" t="s">
        <v>22</v>
      </c>
      <c r="B1042" s="3" t="s">
        <v>7</v>
      </c>
      <c r="C1042" t="s">
        <v>18</v>
      </c>
      <c r="D1042">
        <v>0</v>
      </c>
      <c r="E1042" s="3" t="s">
        <v>8</v>
      </c>
      <c r="F1042" s="3" t="s">
        <v>13</v>
      </c>
      <c r="G1042">
        <v>20234.849999999999</v>
      </c>
    </row>
    <row r="1043" spans="1:7" x14ac:dyDescent="0.25">
      <c r="A1043" t="s">
        <v>19</v>
      </c>
      <c r="B1043" s="3" t="s">
        <v>10</v>
      </c>
      <c r="C1043" t="s">
        <v>23</v>
      </c>
      <c r="D1043">
        <v>0</v>
      </c>
      <c r="E1043" s="3" t="s">
        <v>11</v>
      </c>
      <c r="F1043" s="3" t="s">
        <v>14</v>
      </c>
      <c r="G1043">
        <v>1704.7</v>
      </c>
    </row>
    <row r="1044" spans="1:7" x14ac:dyDescent="0.25">
      <c r="A1044" t="s">
        <v>17</v>
      </c>
      <c r="B1044" s="3" t="s">
        <v>10</v>
      </c>
      <c r="C1044" t="s">
        <v>20</v>
      </c>
      <c r="D1044">
        <v>0</v>
      </c>
      <c r="E1044" s="3" t="s">
        <v>8</v>
      </c>
      <c r="F1044" s="3" t="s">
        <v>14</v>
      </c>
      <c r="G1044">
        <v>33475.82</v>
      </c>
    </row>
    <row r="1045" spans="1:7" x14ac:dyDescent="0.25">
      <c r="A1045" t="s">
        <v>21</v>
      </c>
      <c r="B1045" s="3" t="s">
        <v>7</v>
      </c>
      <c r="C1045" t="s">
        <v>18</v>
      </c>
      <c r="D1045">
        <v>0</v>
      </c>
      <c r="E1045" s="3" t="s">
        <v>11</v>
      </c>
      <c r="F1045" s="3" t="s">
        <v>9</v>
      </c>
      <c r="G1045">
        <v>3161.45</v>
      </c>
    </row>
    <row r="1046" spans="1:7" x14ac:dyDescent="0.25">
      <c r="A1046" t="s">
        <v>30</v>
      </c>
      <c r="B1046" s="3" t="s">
        <v>10</v>
      </c>
      <c r="C1046" t="s">
        <v>28</v>
      </c>
      <c r="D1046">
        <v>1</v>
      </c>
      <c r="E1046" s="3" t="s">
        <v>11</v>
      </c>
      <c r="F1046" s="3" t="s">
        <v>14</v>
      </c>
      <c r="G1046">
        <v>11394.07</v>
      </c>
    </row>
    <row r="1047" spans="1:7" x14ac:dyDescent="0.25">
      <c r="A1047" t="s">
        <v>32</v>
      </c>
      <c r="B1047" s="3" t="s">
        <v>7</v>
      </c>
      <c r="C1047" t="s">
        <v>23</v>
      </c>
      <c r="D1047">
        <v>2</v>
      </c>
      <c r="E1047" s="3" t="s">
        <v>8</v>
      </c>
      <c r="F1047" s="3" t="s">
        <v>13</v>
      </c>
      <c r="G1047">
        <v>21880.82</v>
      </c>
    </row>
    <row r="1048" spans="1:7" x14ac:dyDescent="0.25">
      <c r="A1048" t="s">
        <v>32</v>
      </c>
      <c r="B1048" s="3" t="s">
        <v>7</v>
      </c>
      <c r="C1048" t="s">
        <v>18</v>
      </c>
      <c r="D1048">
        <v>0</v>
      </c>
      <c r="E1048" s="3" t="s">
        <v>11</v>
      </c>
      <c r="F1048" s="3" t="s">
        <v>14</v>
      </c>
      <c r="G1048">
        <v>7325.05</v>
      </c>
    </row>
    <row r="1049" spans="1:7" x14ac:dyDescent="0.25">
      <c r="A1049" t="s">
        <v>17</v>
      </c>
      <c r="B1049" s="3" t="s">
        <v>10</v>
      </c>
      <c r="C1049" t="s">
        <v>29</v>
      </c>
      <c r="D1049">
        <v>1</v>
      </c>
      <c r="E1049" s="3" t="s">
        <v>8</v>
      </c>
      <c r="F1049" s="3" t="s">
        <v>12</v>
      </c>
      <c r="G1049">
        <v>44501.4</v>
      </c>
    </row>
    <row r="1050" spans="1:7" x14ac:dyDescent="0.25">
      <c r="A1050" t="s">
        <v>17</v>
      </c>
      <c r="B1050" s="3" t="s">
        <v>7</v>
      </c>
      <c r="C1050" t="s">
        <v>23</v>
      </c>
      <c r="D1050">
        <v>1</v>
      </c>
      <c r="E1050" s="3" t="s">
        <v>11</v>
      </c>
      <c r="F1050" s="3" t="s">
        <v>13</v>
      </c>
      <c r="G1050">
        <v>3594.17</v>
      </c>
    </row>
    <row r="1051" spans="1:7" x14ac:dyDescent="0.25">
      <c r="A1051" t="s">
        <v>24</v>
      </c>
      <c r="B1051" s="3" t="s">
        <v>10</v>
      </c>
      <c r="C1051" t="s">
        <v>20</v>
      </c>
      <c r="D1051">
        <v>0</v>
      </c>
      <c r="E1051" s="3" t="s">
        <v>8</v>
      </c>
      <c r="F1051" s="3" t="s">
        <v>9</v>
      </c>
      <c r="G1051">
        <v>39727.61</v>
      </c>
    </row>
    <row r="1052" spans="1:7" x14ac:dyDescent="0.25">
      <c r="A1052" t="s">
        <v>32</v>
      </c>
      <c r="B1052" s="3" t="s">
        <v>7</v>
      </c>
      <c r="C1052" t="s">
        <v>28</v>
      </c>
      <c r="D1052">
        <v>1</v>
      </c>
      <c r="E1052" s="3" t="s">
        <v>11</v>
      </c>
      <c r="F1052" s="3" t="s">
        <v>13</v>
      </c>
      <c r="G1052">
        <v>8023.14</v>
      </c>
    </row>
    <row r="1053" spans="1:7" x14ac:dyDescent="0.25">
      <c r="A1053" t="s">
        <v>27</v>
      </c>
      <c r="B1053" s="3" t="s">
        <v>10</v>
      </c>
      <c r="C1053" t="s">
        <v>18</v>
      </c>
      <c r="D1053">
        <v>0</v>
      </c>
      <c r="E1053" s="3" t="s">
        <v>11</v>
      </c>
      <c r="F1053" s="3" t="s">
        <v>14</v>
      </c>
      <c r="G1053">
        <v>14394.56</v>
      </c>
    </row>
    <row r="1054" spans="1:7" x14ac:dyDescent="0.25">
      <c r="A1054" t="s">
        <v>24</v>
      </c>
      <c r="B1054" s="3" t="s">
        <v>10</v>
      </c>
      <c r="C1054" t="s">
        <v>18</v>
      </c>
      <c r="D1054">
        <v>1</v>
      </c>
      <c r="E1054" s="3" t="s">
        <v>11</v>
      </c>
      <c r="F1054" s="3" t="s">
        <v>14</v>
      </c>
      <c r="G1054">
        <v>9288.0300000000007</v>
      </c>
    </row>
    <row r="1055" spans="1:7" x14ac:dyDescent="0.25">
      <c r="A1055" t="s">
        <v>24</v>
      </c>
      <c r="B1055" s="3" t="s">
        <v>10</v>
      </c>
      <c r="C1055" t="s">
        <v>18</v>
      </c>
      <c r="D1055">
        <v>3</v>
      </c>
      <c r="E1055" s="3" t="s">
        <v>8</v>
      </c>
      <c r="F1055" s="3" t="s">
        <v>9</v>
      </c>
      <c r="G1055">
        <v>25309.49</v>
      </c>
    </row>
    <row r="1056" spans="1:7" x14ac:dyDescent="0.25">
      <c r="A1056" t="s">
        <v>21</v>
      </c>
      <c r="B1056" s="3" t="s">
        <v>7</v>
      </c>
      <c r="C1056" t="s">
        <v>23</v>
      </c>
      <c r="D1056">
        <v>0</v>
      </c>
      <c r="E1056" s="3" t="s">
        <v>11</v>
      </c>
      <c r="F1056" s="3" t="s">
        <v>13</v>
      </c>
      <c r="G1056">
        <v>3353.47</v>
      </c>
    </row>
    <row r="1057" spans="1:7" x14ac:dyDescent="0.25">
      <c r="A1057" t="s">
        <v>30</v>
      </c>
      <c r="B1057" s="3" t="s">
        <v>10</v>
      </c>
      <c r="C1057" t="s">
        <v>18</v>
      </c>
      <c r="D1057">
        <v>0</v>
      </c>
      <c r="E1057" s="3" t="s">
        <v>11</v>
      </c>
      <c r="F1057" s="3" t="s">
        <v>13</v>
      </c>
      <c r="G1057">
        <v>10594.5</v>
      </c>
    </row>
    <row r="1058" spans="1:7" x14ac:dyDescent="0.25">
      <c r="A1058" t="s">
        <v>24</v>
      </c>
      <c r="B1058" s="3" t="s">
        <v>7</v>
      </c>
      <c r="C1058" t="s">
        <v>18</v>
      </c>
      <c r="D1058">
        <v>0</v>
      </c>
      <c r="E1058" s="3" t="s">
        <v>11</v>
      </c>
      <c r="F1058" s="3" t="s">
        <v>9</v>
      </c>
      <c r="G1058">
        <v>8277.52</v>
      </c>
    </row>
    <row r="1059" spans="1:7" x14ac:dyDescent="0.25">
      <c r="A1059" t="s">
        <v>32</v>
      </c>
      <c r="B1059" s="3" t="s">
        <v>7</v>
      </c>
      <c r="C1059" t="s">
        <v>20</v>
      </c>
      <c r="D1059">
        <v>0</v>
      </c>
      <c r="E1059" s="3" t="s">
        <v>11</v>
      </c>
      <c r="F1059" s="3" t="s">
        <v>12</v>
      </c>
      <c r="G1059">
        <v>17929.3</v>
      </c>
    </row>
    <row r="1060" spans="1:7" x14ac:dyDescent="0.25">
      <c r="A1060" t="s">
        <v>17</v>
      </c>
      <c r="B1060" s="3" t="s">
        <v>7</v>
      </c>
      <c r="C1060" t="s">
        <v>28</v>
      </c>
      <c r="D1060">
        <v>0</v>
      </c>
      <c r="E1060" s="3" t="s">
        <v>11</v>
      </c>
      <c r="F1060" s="3" t="s">
        <v>12</v>
      </c>
      <c r="G1060">
        <v>2480.98</v>
      </c>
    </row>
    <row r="1061" spans="1:7" x14ac:dyDescent="0.25">
      <c r="A1061" t="s">
        <v>22</v>
      </c>
      <c r="B1061" s="3" t="s">
        <v>10</v>
      </c>
      <c r="C1061" t="s">
        <v>20</v>
      </c>
      <c r="D1061">
        <v>1</v>
      </c>
      <c r="E1061" s="3" t="s">
        <v>11</v>
      </c>
      <c r="F1061" s="3" t="s">
        <v>13</v>
      </c>
      <c r="G1061">
        <v>4462.72</v>
      </c>
    </row>
    <row r="1062" spans="1:7" x14ac:dyDescent="0.25">
      <c r="A1062" t="s">
        <v>17</v>
      </c>
      <c r="B1062" s="3" t="s">
        <v>10</v>
      </c>
      <c r="C1062" t="s">
        <v>20</v>
      </c>
      <c r="D1062">
        <v>0</v>
      </c>
      <c r="E1062" s="3" t="s">
        <v>11</v>
      </c>
      <c r="F1062" s="3" t="s">
        <v>12</v>
      </c>
      <c r="G1062">
        <v>1981.58</v>
      </c>
    </row>
    <row r="1063" spans="1:7" x14ac:dyDescent="0.25">
      <c r="A1063" t="s">
        <v>26</v>
      </c>
      <c r="B1063" s="3" t="s">
        <v>10</v>
      </c>
      <c r="C1063" t="s">
        <v>18</v>
      </c>
      <c r="D1063">
        <v>1</v>
      </c>
      <c r="E1063" s="3" t="s">
        <v>11</v>
      </c>
      <c r="F1063" s="3" t="s">
        <v>12</v>
      </c>
      <c r="G1063">
        <v>11554.22</v>
      </c>
    </row>
    <row r="1064" spans="1:7" x14ac:dyDescent="0.25">
      <c r="A1064" t="s">
        <v>26</v>
      </c>
      <c r="B1064" s="3" t="s">
        <v>10</v>
      </c>
      <c r="C1064" t="s">
        <v>29</v>
      </c>
      <c r="D1064">
        <v>1</v>
      </c>
      <c r="E1064" s="3" t="s">
        <v>8</v>
      </c>
      <c r="F1064" s="3" t="s">
        <v>12</v>
      </c>
      <c r="G1064">
        <v>48970.25</v>
      </c>
    </row>
    <row r="1065" spans="1:7" x14ac:dyDescent="0.25">
      <c r="A1065" t="s">
        <v>25</v>
      </c>
      <c r="B1065" s="3" t="s">
        <v>10</v>
      </c>
      <c r="C1065" t="s">
        <v>18</v>
      </c>
      <c r="D1065">
        <v>3</v>
      </c>
      <c r="E1065" s="3" t="s">
        <v>11</v>
      </c>
      <c r="F1065" s="3" t="s">
        <v>13</v>
      </c>
      <c r="G1065">
        <v>6548.2</v>
      </c>
    </row>
    <row r="1066" spans="1:7" x14ac:dyDescent="0.25">
      <c r="A1066" t="s">
        <v>21</v>
      </c>
      <c r="B1066" s="3" t="s">
        <v>7</v>
      </c>
      <c r="C1066" t="s">
        <v>18</v>
      </c>
      <c r="D1066">
        <v>4</v>
      </c>
      <c r="E1066" s="3" t="s">
        <v>11</v>
      </c>
      <c r="F1066" s="3" t="s">
        <v>9</v>
      </c>
      <c r="G1066">
        <v>5708.87</v>
      </c>
    </row>
    <row r="1067" spans="1:7" x14ac:dyDescent="0.25">
      <c r="A1067" t="s">
        <v>32</v>
      </c>
      <c r="B1067" s="3" t="s">
        <v>7</v>
      </c>
      <c r="C1067" t="s">
        <v>18</v>
      </c>
      <c r="D1067">
        <v>1</v>
      </c>
      <c r="E1067" s="3" t="s">
        <v>11</v>
      </c>
      <c r="F1067" s="3" t="s">
        <v>9</v>
      </c>
      <c r="G1067">
        <v>7045.5</v>
      </c>
    </row>
    <row r="1068" spans="1:7" x14ac:dyDescent="0.25">
      <c r="A1068" t="s">
        <v>24</v>
      </c>
      <c r="B1068" s="3" t="s">
        <v>10</v>
      </c>
      <c r="C1068" t="s">
        <v>28</v>
      </c>
      <c r="D1068">
        <v>2</v>
      </c>
      <c r="E1068" s="3" t="s">
        <v>11</v>
      </c>
      <c r="F1068" s="3" t="s">
        <v>12</v>
      </c>
      <c r="G1068">
        <v>8978.19</v>
      </c>
    </row>
    <row r="1069" spans="1:7" x14ac:dyDescent="0.25">
      <c r="A1069" t="s">
        <v>25</v>
      </c>
      <c r="B1069" s="3" t="s">
        <v>10</v>
      </c>
      <c r="C1069" t="s">
        <v>29</v>
      </c>
      <c r="D1069">
        <v>0</v>
      </c>
      <c r="E1069" s="3" t="s">
        <v>11</v>
      </c>
      <c r="F1069" s="3" t="s">
        <v>14</v>
      </c>
      <c r="G1069">
        <v>5757.41</v>
      </c>
    </row>
    <row r="1070" spans="1:7" x14ac:dyDescent="0.25">
      <c r="A1070" t="s">
        <v>27</v>
      </c>
      <c r="B1070" s="3" t="s">
        <v>10</v>
      </c>
      <c r="C1070" t="s">
        <v>23</v>
      </c>
      <c r="D1070">
        <v>1</v>
      </c>
      <c r="E1070" s="3" t="s">
        <v>11</v>
      </c>
      <c r="F1070" s="3" t="s">
        <v>13</v>
      </c>
      <c r="G1070">
        <v>14349.85</v>
      </c>
    </row>
    <row r="1071" spans="1:7" x14ac:dyDescent="0.25">
      <c r="A1071" t="s">
        <v>30</v>
      </c>
      <c r="B1071" s="3" t="s">
        <v>7</v>
      </c>
      <c r="C1071" t="s">
        <v>20</v>
      </c>
      <c r="D1071">
        <v>1</v>
      </c>
      <c r="E1071" s="3" t="s">
        <v>11</v>
      </c>
      <c r="F1071" s="3" t="s">
        <v>12</v>
      </c>
      <c r="G1071">
        <v>10928.85</v>
      </c>
    </row>
    <row r="1072" spans="1:7" x14ac:dyDescent="0.25">
      <c r="A1072" t="s">
        <v>25</v>
      </c>
      <c r="B1072" s="3" t="s">
        <v>10</v>
      </c>
      <c r="C1072" t="s">
        <v>28</v>
      </c>
      <c r="D1072">
        <v>1</v>
      </c>
      <c r="E1072" s="3" t="s">
        <v>8</v>
      </c>
      <c r="F1072" s="3" t="s">
        <v>12</v>
      </c>
      <c r="G1072">
        <v>39871.699999999997</v>
      </c>
    </row>
    <row r="1073" spans="1:7" x14ac:dyDescent="0.25">
      <c r="A1073" t="s">
        <v>27</v>
      </c>
      <c r="B1073" s="3" t="s">
        <v>10</v>
      </c>
      <c r="C1073" t="s">
        <v>20</v>
      </c>
      <c r="D1073">
        <v>0</v>
      </c>
      <c r="E1073" s="3" t="s">
        <v>11</v>
      </c>
      <c r="F1073" s="3" t="s">
        <v>14</v>
      </c>
      <c r="G1073">
        <v>13974.46</v>
      </c>
    </row>
    <row r="1074" spans="1:7" x14ac:dyDescent="0.25">
      <c r="A1074" t="s">
        <v>17</v>
      </c>
      <c r="B1074" s="3" t="s">
        <v>10</v>
      </c>
      <c r="C1074" t="s">
        <v>20</v>
      </c>
      <c r="D1074">
        <v>0</v>
      </c>
      <c r="E1074" s="3" t="s">
        <v>11</v>
      </c>
      <c r="F1074" s="3" t="s">
        <v>13</v>
      </c>
      <c r="G1074">
        <v>1909.53</v>
      </c>
    </row>
    <row r="1075" spans="1:7" x14ac:dyDescent="0.25">
      <c r="A1075" t="s">
        <v>30</v>
      </c>
      <c r="B1075" s="3" t="s">
        <v>7</v>
      </c>
      <c r="C1075" t="s">
        <v>18</v>
      </c>
      <c r="D1075">
        <v>2</v>
      </c>
      <c r="E1075" s="3" t="s">
        <v>11</v>
      </c>
      <c r="F1075" s="3" t="s">
        <v>14</v>
      </c>
      <c r="G1075">
        <v>12096.65</v>
      </c>
    </row>
    <row r="1076" spans="1:7" x14ac:dyDescent="0.25">
      <c r="A1076" t="s">
        <v>26</v>
      </c>
      <c r="B1076" s="3" t="s">
        <v>7</v>
      </c>
      <c r="C1076" t="s">
        <v>31</v>
      </c>
      <c r="D1076">
        <v>0</v>
      </c>
      <c r="E1076" s="3" t="s">
        <v>11</v>
      </c>
      <c r="F1076" s="3" t="s">
        <v>14</v>
      </c>
      <c r="G1076">
        <v>13204.29</v>
      </c>
    </row>
    <row r="1077" spans="1:7" x14ac:dyDescent="0.25">
      <c r="A1077" t="s">
        <v>22</v>
      </c>
      <c r="B1077" s="3" t="s">
        <v>7</v>
      </c>
      <c r="C1077" t="s">
        <v>18</v>
      </c>
      <c r="D1077">
        <v>1</v>
      </c>
      <c r="E1077" s="3" t="s">
        <v>11</v>
      </c>
      <c r="F1077" s="3" t="s">
        <v>12</v>
      </c>
      <c r="G1077">
        <v>4562.84</v>
      </c>
    </row>
    <row r="1078" spans="1:7" x14ac:dyDescent="0.25">
      <c r="A1078" t="s">
        <v>24</v>
      </c>
      <c r="B1078" s="3" t="s">
        <v>7</v>
      </c>
      <c r="C1078" t="s">
        <v>20</v>
      </c>
      <c r="D1078">
        <v>1</v>
      </c>
      <c r="E1078" s="3" t="s">
        <v>11</v>
      </c>
      <c r="F1078" s="3" t="s">
        <v>9</v>
      </c>
      <c r="G1078">
        <v>8551.35</v>
      </c>
    </row>
    <row r="1079" spans="1:7" x14ac:dyDescent="0.25">
      <c r="A1079" t="s">
        <v>17</v>
      </c>
      <c r="B1079" s="3" t="s">
        <v>10</v>
      </c>
      <c r="C1079" t="s">
        <v>18</v>
      </c>
      <c r="D1079">
        <v>0</v>
      </c>
      <c r="E1079" s="3" t="s">
        <v>11</v>
      </c>
      <c r="F1079" s="3" t="s">
        <v>14</v>
      </c>
      <c r="G1079">
        <v>2102.2600000000002</v>
      </c>
    </row>
    <row r="1080" spans="1:7" x14ac:dyDescent="0.25">
      <c r="A1080" t="s">
        <v>21</v>
      </c>
      <c r="B1080" s="3" t="s">
        <v>10</v>
      </c>
      <c r="C1080" t="s">
        <v>20</v>
      </c>
      <c r="D1080">
        <v>0</v>
      </c>
      <c r="E1080" s="3" t="s">
        <v>8</v>
      </c>
      <c r="F1080" s="3" t="s">
        <v>12</v>
      </c>
      <c r="G1080">
        <v>34672.15</v>
      </c>
    </row>
    <row r="1081" spans="1:7" x14ac:dyDescent="0.25">
      <c r="A1081" t="s">
        <v>27</v>
      </c>
      <c r="B1081" s="3" t="s">
        <v>10</v>
      </c>
      <c r="C1081" t="s">
        <v>20</v>
      </c>
      <c r="D1081">
        <v>3</v>
      </c>
      <c r="E1081" s="3" t="s">
        <v>11</v>
      </c>
      <c r="F1081" s="3" t="s">
        <v>12</v>
      </c>
      <c r="G1081">
        <v>15161.53</v>
      </c>
    </row>
    <row r="1082" spans="1:7" x14ac:dyDescent="0.25">
      <c r="A1082" t="s">
        <v>19</v>
      </c>
      <c r="B1082" s="3" t="s">
        <v>10</v>
      </c>
      <c r="C1082" t="s">
        <v>23</v>
      </c>
      <c r="D1082">
        <v>2</v>
      </c>
      <c r="E1082" s="3" t="s">
        <v>11</v>
      </c>
      <c r="F1082" s="3" t="s">
        <v>12</v>
      </c>
      <c r="G1082">
        <v>11884.05</v>
      </c>
    </row>
    <row r="1083" spans="1:7" x14ac:dyDescent="0.25">
      <c r="A1083" t="s">
        <v>22</v>
      </c>
      <c r="B1083" s="3" t="s">
        <v>10</v>
      </c>
      <c r="C1083" t="s">
        <v>18</v>
      </c>
      <c r="D1083">
        <v>1</v>
      </c>
      <c r="E1083" s="3" t="s">
        <v>11</v>
      </c>
      <c r="F1083" s="3" t="s">
        <v>13</v>
      </c>
      <c r="G1083">
        <v>4454.3999999999996</v>
      </c>
    </row>
    <row r="1084" spans="1:7" x14ac:dyDescent="0.25">
      <c r="A1084" t="s">
        <v>25</v>
      </c>
      <c r="B1084" s="3" t="s">
        <v>10</v>
      </c>
      <c r="C1084" t="s">
        <v>23</v>
      </c>
      <c r="D1084">
        <v>1</v>
      </c>
      <c r="E1084" s="3" t="s">
        <v>11</v>
      </c>
      <c r="F1084" s="3" t="s">
        <v>13</v>
      </c>
      <c r="G1084">
        <v>5855.9</v>
      </c>
    </row>
    <row r="1085" spans="1:7" x14ac:dyDescent="0.25">
      <c r="A1085" t="s">
        <v>22</v>
      </c>
      <c r="B1085" s="3" t="s">
        <v>10</v>
      </c>
      <c r="C1085" t="s">
        <v>20</v>
      </c>
      <c r="D1085">
        <v>1</v>
      </c>
      <c r="E1085" s="3" t="s">
        <v>11</v>
      </c>
      <c r="F1085" s="3" t="s">
        <v>9</v>
      </c>
      <c r="G1085">
        <v>4076.5</v>
      </c>
    </row>
    <row r="1086" spans="1:7" x14ac:dyDescent="0.25">
      <c r="A1086" t="s">
        <v>27</v>
      </c>
      <c r="B1086" s="3" t="s">
        <v>7</v>
      </c>
      <c r="C1086" t="s">
        <v>20</v>
      </c>
      <c r="D1086">
        <v>2</v>
      </c>
      <c r="E1086" s="3" t="s">
        <v>11</v>
      </c>
      <c r="F1086" s="3" t="s">
        <v>13</v>
      </c>
      <c r="G1086">
        <v>15019.76</v>
      </c>
    </row>
    <row r="1087" spans="1:7" x14ac:dyDescent="0.25">
      <c r="A1087" t="s">
        <v>25</v>
      </c>
      <c r="B1087" s="3" t="s">
        <v>7</v>
      </c>
      <c r="C1087" t="s">
        <v>31</v>
      </c>
      <c r="D1087">
        <v>5</v>
      </c>
      <c r="E1087" s="3" t="s">
        <v>8</v>
      </c>
      <c r="F1087" s="3" t="s">
        <v>9</v>
      </c>
      <c r="G1087">
        <v>19023.259999999998</v>
      </c>
    </row>
    <row r="1088" spans="1:7" x14ac:dyDescent="0.25">
      <c r="A1088" t="s">
        <v>30</v>
      </c>
      <c r="B1088" s="3" t="s">
        <v>10</v>
      </c>
      <c r="C1088" t="s">
        <v>18</v>
      </c>
      <c r="D1088">
        <v>0</v>
      </c>
      <c r="E1088" s="3" t="s">
        <v>11</v>
      </c>
      <c r="F1088" s="3" t="s">
        <v>14</v>
      </c>
      <c r="G1088">
        <v>10796.35</v>
      </c>
    </row>
    <row r="1089" spans="1:7" x14ac:dyDescent="0.25">
      <c r="A1089" t="s">
        <v>26</v>
      </c>
      <c r="B1089" s="3" t="s">
        <v>10</v>
      </c>
      <c r="C1089" t="s">
        <v>20</v>
      </c>
      <c r="D1089">
        <v>0</v>
      </c>
      <c r="E1089" s="3" t="s">
        <v>11</v>
      </c>
      <c r="F1089" s="3" t="s">
        <v>13</v>
      </c>
      <c r="G1089">
        <v>11353.23</v>
      </c>
    </row>
    <row r="1090" spans="1:7" x14ac:dyDescent="0.25">
      <c r="A1090" t="s">
        <v>30</v>
      </c>
      <c r="B1090" s="3" t="s">
        <v>10</v>
      </c>
      <c r="C1090" t="s">
        <v>29</v>
      </c>
      <c r="D1090">
        <v>1</v>
      </c>
      <c r="E1090" s="3" t="s">
        <v>11</v>
      </c>
      <c r="F1090" s="3" t="s">
        <v>12</v>
      </c>
      <c r="G1090">
        <v>9748.91</v>
      </c>
    </row>
    <row r="1091" spans="1:7" x14ac:dyDescent="0.25">
      <c r="A1091" t="s">
        <v>26</v>
      </c>
      <c r="B1091" s="3" t="s">
        <v>10</v>
      </c>
      <c r="C1091" t="s">
        <v>23</v>
      </c>
      <c r="D1091">
        <v>0</v>
      </c>
      <c r="E1091" s="3" t="s">
        <v>11</v>
      </c>
      <c r="F1091" s="3" t="s">
        <v>9</v>
      </c>
      <c r="G1091">
        <v>10577.09</v>
      </c>
    </row>
    <row r="1092" spans="1:7" x14ac:dyDescent="0.25">
      <c r="A1092" t="s">
        <v>24</v>
      </c>
      <c r="B1092" s="3" t="s">
        <v>10</v>
      </c>
      <c r="C1092" t="s">
        <v>28</v>
      </c>
      <c r="D1092">
        <v>0</v>
      </c>
      <c r="E1092" s="3" t="s">
        <v>8</v>
      </c>
      <c r="F1092" s="3" t="s">
        <v>12</v>
      </c>
      <c r="G1092">
        <v>41676.080000000002</v>
      </c>
    </row>
    <row r="1093" spans="1:7" x14ac:dyDescent="0.25">
      <c r="A1093" t="s">
        <v>30</v>
      </c>
      <c r="B1093" s="3" t="s">
        <v>7</v>
      </c>
      <c r="C1093" t="s">
        <v>18</v>
      </c>
      <c r="D1093">
        <v>0</v>
      </c>
      <c r="E1093" s="3" t="s">
        <v>11</v>
      </c>
      <c r="F1093" s="3" t="s">
        <v>14</v>
      </c>
      <c r="G1093">
        <v>11286.54</v>
      </c>
    </row>
    <row r="1094" spans="1:7" x14ac:dyDescent="0.25">
      <c r="A1094" t="s">
        <v>17</v>
      </c>
      <c r="B1094" s="3" t="s">
        <v>10</v>
      </c>
      <c r="C1094" t="s">
        <v>20</v>
      </c>
      <c r="D1094">
        <v>3</v>
      </c>
      <c r="E1094" s="3" t="s">
        <v>11</v>
      </c>
      <c r="F1094" s="3" t="s">
        <v>9</v>
      </c>
      <c r="G1094">
        <v>3591.48</v>
      </c>
    </row>
    <row r="1095" spans="1:7" x14ac:dyDescent="0.25">
      <c r="A1095" t="s">
        <v>17</v>
      </c>
      <c r="B1095" s="3" t="s">
        <v>7</v>
      </c>
      <c r="C1095" t="s">
        <v>20</v>
      </c>
      <c r="D1095">
        <v>0</v>
      </c>
      <c r="E1095" s="3" t="s">
        <v>8</v>
      </c>
      <c r="F1095" s="3" t="s">
        <v>13</v>
      </c>
      <c r="G1095">
        <v>33907.550000000003</v>
      </c>
    </row>
    <row r="1096" spans="1:7" x14ac:dyDescent="0.25">
      <c r="A1096" t="s">
        <v>24</v>
      </c>
      <c r="B1096" s="3" t="s">
        <v>7</v>
      </c>
      <c r="C1096" t="s">
        <v>20</v>
      </c>
      <c r="D1096">
        <v>4</v>
      </c>
      <c r="E1096" s="3" t="s">
        <v>11</v>
      </c>
      <c r="F1096" s="3" t="s">
        <v>9</v>
      </c>
      <c r="G1096">
        <v>11299.34</v>
      </c>
    </row>
    <row r="1097" spans="1:7" x14ac:dyDescent="0.25">
      <c r="A1097" t="s">
        <v>19</v>
      </c>
      <c r="B1097" s="3" t="s">
        <v>7</v>
      </c>
      <c r="C1097" t="s">
        <v>20</v>
      </c>
      <c r="D1097">
        <v>4</v>
      </c>
      <c r="E1097" s="3" t="s">
        <v>11</v>
      </c>
      <c r="F1097" s="3" t="s">
        <v>14</v>
      </c>
      <c r="G1097">
        <v>4561.1899999999996</v>
      </c>
    </row>
    <row r="1098" spans="1:7" x14ac:dyDescent="0.25">
      <c r="A1098" t="s">
        <v>30</v>
      </c>
      <c r="B1098" s="3" t="s">
        <v>7</v>
      </c>
      <c r="C1098" t="s">
        <v>28</v>
      </c>
      <c r="D1098">
        <v>2</v>
      </c>
      <c r="E1098" s="3" t="s">
        <v>8</v>
      </c>
      <c r="F1098" s="3" t="s">
        <v>14</v>
      </c>
      <c r="G1098">
        <v>44641.2</v>
      </c>
    </row>
    <row r="1099" spans="1:7" x14ac:dyDescent="0.25">
      <c r="A1099" t="s">
        <v>17</v>
      </c>
      <c r="B1099" s="3" t="s">
        <v>10</v>
      </c>
      <c r="C1099" t="s">
        <v>20</v>
      </c>
      <c r="D1099">
        <v>0</v>
      </c>
      <c r="E1099" s="3" t="s">
        <v>11</v>
      </c>
      <c r="F1099" s="3" t="s">
        <v>12</v>
      </c>
      <c r="G1099">
        <v>1674.63</v>
      </c>
    </row>
    <row r="1100" spans="1:7" x14ac:dyDescent="0.25">
      <c r="A1100" t="s">
        <v>30</v>
      </c>
      <c r="B1100" s="3" t="s">
        <v>7</v>
      </c>
      <c r="C1100" t="s">
        <v>20</v>
      </c>
      <c r="D1100">
        <v>0</v>
      </c>
      <c r="E1100" s="3" t="s">
        <v>11</v>
      </c>
      <c r="F1100" s="3" t="s">
        <v>14</v>
      </c>
      <c r="G1100">
        <v>23045.57</v>
      </c>
    </row>
    <row r="1101" spans="1:7" x14ac:dyDescent="0.25">
      <c r="A1101" t="s">
        <v>17</v>
      </c>
      <c r="B1101" s="3" t="s">
        <v>7</v>
      </c>
      <c r="C1101" t="s">
        <v>20</v>
      </c>
      <c r="D1101">
        <v>1</v>
      </c>
      <c r="E1101" s="3" t="s">
        <v>11</v>
      </c>
      <c r="F1101" s="3" t="s">
        <v>12</v>
      </c>
      <c r="G1101">
        <v>3227.12</v>
      </c>
    </row>
    <row r="1102" spans="1:7" x14ac:dyDescent="0.25">
      <c r="A1102" t="s">
        <v>22</v>
      </c>
      <c r="B1102" s="3" t="s">
        <v>7</v>
      </c>
      <c r="C1102" t="s">
        <v>23</v>
      </c>
      <c r="D1102">
        <v>2</v>
      </c>
      <c r="E1102" s="3" t="s">
        <v>8</v>
      </c>
      <c r="F1102" s="3" t="s">
        <v>14</v>
      </c>
      <c r="G1102">
        <v>16776.3</v>
      </c>
    </row>
    <row r="1103" spans="1:7" x14ac:dyDescent="0.25">
      <c r="A1103" t="s">
        <v>30</v>
      </c>
      <c r="B1103" s="3" t="s">
        <v>10</v>
      </c>
      <c r="C1103" t="s">
        <v>18</v>
      </c>
      <c r="D1103">
        <v>3</v>
      </c>
      <c r="E1103" s="3" t="s">
        <v>11</v>
      </c>
      <c r="F1103" s="3" t="s">
        <v>9</v>
      </c>
      <c r="G1103">
        <v>11253.42</v>
      </c>
    </row>
    <row r="1104" spans="1:7" x14ac:dyDescent="0.25">
      <c r="A1104" t="s">
        <v>21</v>
      </c>
      <c r="B1104" s="3" t="s">
        <v>10</v>
      </c>
      <c r="C1104" t="s">
        <v>28</v>
      </c>
      <c r="D1104">
        <v>1</v>
      </c>
      <c r="E1104" s="3" t="s">
        <v>11</v>
      </c>
      <c r="F1104" s="3" t="s">
        <v>12</v>
      </c>
      <c r="G1104">
        <v>3471.41</v>
      </c>
    </row>
    <row r="1105" spans="1:7" x14ac:dyDescent="0.25">
      <c r="A1105" t="s">
        <v>26</v>
      </c>
      <c r="B1105" s="3" t="s">
        <v>10</v>
      </c>
      <c r="C1105" t="s">
        <v>28</v>
      </c>
      <c r="D1105">
        <v>0</v>
      </c>
      <c r="E1105" s="3" t="s">
        <v>11</v>
      </c>
      <c r="F1105" s="3" t="s">
        <v>12</v>
      </c>
      <c r="G1105">
        <v>11363.28</v>
      </c>
    </row>
    <row r="1106" spans="1:7" x14ac:dyDescent="0.25">
      <c r="A1106" t="s">
        <v>25</v>
      </c>
      <c r="B1106" s="3" t="s">
        <v>10</v>
      </c>
      <c r="C1106" t="s">
        <v>18</v>
      </c>
      <c r="D1106">
        <v>0</v>
      </c>
      <c r="E1106" s="3" t="s">
        <v>11</v>
      </c>
      <c r="F1106" s="3" t="s">
        <v>9</v>
      </c>
      <c r="G1106">
        <v>20420.599999999999</v>
      </c>
    </row>
    <row r="1107" spans="1:7" x14ac:dyDescent="0.25">
      <c r="A1107" t="s">
        <v>30</v>
      </c>
      <c r="B1107" s="3" t="s">
        <v>7</v>
      </c>
      <c r="C1107" t="s">
        <v>20</v>
      </c>
      <c r="D1107">
        <v>0</v>
      </c>
      <c r="E1107" s="3" t="s">
        <v>11</v>
      </c>
      <c r="F1107" s="3" t="s">
        <v>12</v>
      </c>
      <c r="G1107">
        <v>10338.93</v>
      </c>
    </row>
    <row r="1108" spans="1:7" x14ac:dyDescent="0.25">
      <c r="A1108" t="s">
        <v>24</v>
      </c>
      <c r="B1108" s="3" t="s">
        <v>7</v>
      </c>
      <c r="C1108" t="s">
        <v>20</v>
      </c>
      <c r="D1108">
        <v>0</v>
      </c>
      <c r="E1108" s="3" t="s">
        <v>11</v>
      </c>
      <c r="F1108" s="3" t="s">
        <v>13</v>
      </c>
      <c r="G1108">
        <v>8988.16</v>
      </c>
    </row>
    <row r="1109" spans="1:7" x14ac:dyDescent="0.25">
      <c r="A1109" t="s">
        <v>24</v>
      </c>
      <c r="B1109" s="3" t="s">
        <v>7</v>
      </c>
      <c r="C1109" t="s">
        <v>18</v>
      </c>
      <c r="D1109">
        <v>2</v>
      </c>
      <c r="E1109" s="3" t="s">
        <v>11</v>
      </c>
      <c r="F1109" s="3" t="s">
        <v>13</v>
      </c>
      <c r="G1109">
        <v>10493.95</v>
      </c>
    </row>
    <row r="1110" spans="1:7" x14ac:dyDescent="0.25">
      <c r="A1110" t="s">
        <v>21</v>
      </c>
      <c r="B1110" s="3" t="s">
        <v>10</v>
      </c>
      <c r="C1110" t="s">
        <v>20</v>
      </c>
      <c r="D1110">
        <v>1</v>
      </c>
      <c r="E1110" s="3" t="s">
        <v>11</v>
      </c>
      <c r="F1110" s="3" t="s">
        <v>9</v>
      </c>
      <c r="G1110">
        <v>2904.09</v>
      </c>
    </row>
    <row r="1111" spans="1:7" x14ac:dyDescent="0.25">
      <c r="A1111" t="s">
        <v>32</v>
      </c>
      <c r="B1111" s="3" t="s">
        <v>10</v>
      </c>
      <c r="C1111" t="s">
        <v>23</v>
      </c>
      <c r="D1111">
        <v>3</v>
      </c>
      <c r="E1111" s="3" t="s">
        <v>11</v>
      </c>
      <c r="F1111" s="3" t="s">
        <v>12</v>
      </c>
      <c r="G1111">
        <v>8605.36</v>
      </c>
    </row>
    <row r="1112" spans="1:7" x14ac:dyDescent="0.25">
      <c r="A1112" t="s">
        <v>30</v>
      </c>
      <c r="B1112" s="3" t="s">
        <v>7</v>
      </c>
      <c r="C1112" t="s">
        <v>20</v>
      </c>
      <c r="D1112">
        <v>1</v>
      </c>
      <c r="E1112" s="3" t="s">
        <v>11</v>
      </c>
      <c r="F1112" s="3" t="s">
        <v>14</v>
      </c>
      <c r="G1112">
        <v>11512.4</v>
      </c>
    </row>
    <row r="1113" spans="1:7" x14ac:dyDescent="0.25">
      <c r="A1113" t="s">
        <v>25</v>
      </c>
      <c r="B1113" s="3" t="s">
        <v>10</v>
      </c>
      <c r="C1113" t="s">
        <v>28</v>
      </c>
      <c r="D1113">
        <v>3</v>
      </c>
      <c r="E1113" s="3" t="s">
        <v>8</v>
      </c>
      <c r="F1113" s="3" t="s">
        <v>12</v>
      </c>
      <c r="G1113">
        <v>41949.24</v>
      </c>
    </row>
    <row r="1114" spans="1:7" x14ac:dyDescent="0.25">
      <c r="A1114" t="s">
        <v>24</v>
      </c>
      <c r="B1114" s="3" t="s">
        <v>7</v>
      </c>
      <c r="C1114" t="s">
        <v>18</v>
      </c>
      <c r="D1114">
        <v>3</v>
      </c>
      <c r="E1114" s="3" t="s">
        <v>8</v>
      </c>
      <c r="F1114" s="3" t="s">
        <v>12</v>
      </c>
      <c r="G1114">
        <v>24180.93</v>
      </c>
    </row>
    <row r="1115" spans="1:7" x14ac:dyDescent="0.25">
      <c r="A1115" t="s">
        <v>21</v>
      </c>
      <c r="B1115" s="3" t="s">
        <v>7</v>
      </c>
      <c r="C1115" t="s">
        <v>18</v>
      </c>
      <c r="D1115">
        <v>3</v>
      </c>
      <c r="E1115" s="3" t="s">
        <v>11</v>
      </c>
      <c r="F1115" s="3" t="s">
        <v>13</v>
      </c>
      <c r="G1115">
        <v>5312.17</v>
      </c>
    </row>
    <row r="1116" spans="1:7" x14ac:dyDescent="0.25">
      <c r="A1116" t="s">
        <v>17</v>
      </c>
      <c r="B1116" s="3" t="s">
        <v>10</v>
      </c>
      <c r="C1116" t="s">
        <v>23</v>
      </c>
      <c r="D1116">
        <v>0</v>
      </c>
      <c r="E1116" s="3" t="s">
        <v>11</v>
      </c>
      <c r="F1116" s="3" t="s">
        <v>14</v>
      </c>
      <c r="G1116">
        <v>2396.1</v>
      </c>
    </row>
    <row r="1117" spans="1:7" x14ac:dyDescent="0.25">
      <c r="A1117" t="s">
        <v>30</v>
      </c>
      <c r="B1117" s="3" t="s">
        <v>10</v>
      </c>
      <c r="C1117" t="s">
        <v>20</v>
      </c>
      <c r="D1117">
        <v>1</v>
      </c>
      <c r="E1117" s="3" t="s">
        <v>11</v>
      </c>
      <c r="F1117" s="3" t="s">
        <v>12</v>
      </c>
      <c r="G1117">
        <v>10807.49</v>
      </c>
    </row>
    <row r="1118" spans="1:7" x14ac:dyDescent="0.25">
      <c r="A1118" t="s">
        <v>32</v>
      </c>
      <c r="B1118" s="3" t="s">
        <v>10</v>
      </c>
      <c r="C1118" t="s">
        <v>18</v>
      </c>
      <c r="D1118">
        <v>5</v>
      </c>
      <c r="E1118" s="3" t="s">
        <v>11</v>
      </c>
      <c r="F1118" s="3" t="s">
        <v>14</v>
      </c>
      <c r="G1118">
        <v>9222.4</v>
      </c>
    </row>
    <row r="1119" spans="1:7" x14ac:dyDescent="0.25">
      <c r="A1119" t="s">
        <v>17</v>
      </c>
      <c r="B1119" s="3" t="s">
        <v>10</v>
      </c>
      <c r="C1119" t="s">
        <v>20</v>
      </c>
      <c r="D1119">
        <v>2</v>
      </c>
      <c r="E1119" s="3" t="s">
        <v>8</v>
      </c>
      <c r="F1119" s="3" t="s">
        <v>12</v>
      </c>
      <c r="G1119">
        <v>36124.57</v>
      </c>
    </row>
    <row r="1120" spans="1:7" x14ac:dyDescent="0.25">
      <c r="A1120" t="s">
        <v>22</v>
      </c>
      <c r="B1120" s="3" t="s">
        <v>10</v>
      </c>
      <c r="C1120" t="s">
        <v>28</v>
      </c>
      <c r="D1120">
        <v>1</v>
      </c>
      <c r="E1120" s="3" t="s">
        <v>8</v>
      </c>
      <c r="F1120" s="3" t="s">
        <v>12</v>
      </c>
      <c r="G1120">
        <v>38282.75</v>
      </c>
    </row>
    <row r="1121" spans="1:7" x14ac:dyDescent="0.25">
      <c r="A1121" t="s">
        <v>21</v>
      </c>
      <c r="B1121" s="3" t="s">
        <v>7</v>
      </c>
      <c r="C1121" t="s">
        <v>23</v>
      </c>
      <c r="D1121">
        <v>3</v>
      </c>
      <c r="E1121" s="3" t="s">
        <v>11</v>
      </c>
      <c r="F1121" s="3" t="s">
        <v>13</v>
      </c>
      <c r="G1121">
        <v>5693.43</v>
      </c>
    </row>
    <row r="1122" spans="1:7" x14ac:dyDescent="0.25">
      <c r="A1122" t="s">
        <v>17</v>
      </c>
      <c r="B1122" s="3" t="s">
        <v>7</v>
      </c>
      <c r="C1122" t="s">
        <v>20</v>
      </c>
      <c r="D1122">
        <v>0</v>
      </c>
      <c r="E1122" s="3" t="s">
        <v>8</v>
      </c>
      <c r="F1122" s="3" t="s">
        <v>9</v>
      </c>
      <c r="G1122">
        <v>34166.269999999997</v>
      </c>
    </row>
    <row r="1123" spans="1:7" x14ac:dyDescent="0.25">
      <c r="A1123" t="s">
        <v>24</v>
      </c>
      <c r="B1123" s="3" t="s">
        <v>10</v>
      </c>
      <c r="C1123" t="s">
        <v>28</v>
      </c>
      <c r="D1123">
        <v>2</v>
      </c>
      <c r="E1123" s="3" t="s">
        <v>11</v>
      </c>
      <c r="F1123" s="3" t="s">
        <v>12</v>
      </c>
      <c r="G1123">
        <v>8347.16</v>
      </c>
    </row>
    <row r="1124" spans="1:7" x14ac:dyDescent="0.25">
      <c r="A1124" t="s">
        <v>30</v>
      </c>
      <c r="B1124" s="3" t="s">
        <v>7</v>
      </c>
      <c r="C1124" t="s">
        <v>28</v>
      </c>
      <c r="D1124">
        <v>3</v>
      </c>
      <c r="E1124" s="3" t="s">
        <v>8</v>
      </c>
      <c r="F1124" s="3" t="s">
        <v>13</v>
      </c>
      <c r="G1124">
        <v>46661.440000000002</v>
      </c>
    </row>
    <row r="1125" spans="1:7" x14ac:dyDescent="0.25">
      <c r="A1125" t="s">
        <v>21</v>
      </c>
      <c r="B1125" s="3" t="s">
        <v>7</v>
      </c>
      <c r="C1125" t="s">
        <v>20</v>
      </c>
      <c r="D1125">
        <v>1</v>
      </c>
      <c r="E1125" s="3" t="s">
        <v>11</v>
      </c>
      <c r="F1125" s="3" t="s">
        <v>14</v>
      </c>
      <c r="G1125">
        <v>18903.490000000002</v>
      </c>
    </row>
    <row r="1126" spans="1:7" x14ac:dyDescent="0.25">
      <c r="A1126" t="s">
        <v>17</v>
      </c>
      <c r="B1126" s="3" t="s">
        <v>7</v>
      </c>
      <c r="C1126" t="s">
        <v>29</v>
      </c>
      <c r="D1126">
        <v>1</v>
      </c>
      <c r="E1126" s="3" t="s">
        <v>8</v>
      </c>
      <c r="F1126" s="3" t="s">
        <v>14</v>
      </c>
      <c r="G1126">
        <v>40904.199999999997</v>
      </c>
    </row>
    <row r="1127" spans="1:7" x14ac:dyDescent="0.25">
      <c r="A1127" t="s">
        <v>27</v>
      </c>
      <c r="B1127" s="3" t="s">
        <v>7</v>
      </c>
      <c r="C1127" t="s">
        <v>18</v>
      </c>
      <c r="D1127">
        <v>0</v>
      </c>
      <c r="E1127" s="3" t="s">
        <v>11</v>
      </c>
      <c r="F1127" s="3" t="s">
        <v>13</v>
      </c>
      <c r="G1127">
        <v>14254.61</v>
      </c>
    </row>
    <row r="1128" spans="1:7" x14ac:dyDescent="0.25">
      <c r="A1128" t="s">
        <v>30</v>
      </c>
      <c r="B1128" s="3" t="s">
        <v>10</v>
      </c>
      <c r="C1128" t="s">
        <v>20</v>
      </c>
      <c r="D1128">
        <v>0</v>
      </c>
      <c r="E1128" s="3" t="s">
        <v>11</v>
      </c>
      <c r="F1128" s="3" t="s">
        <v>9</v>
      </c>
      <c r="G1128">
        <v>10214.64</v>
      </c>
    </row>
    <row r="1129" spans="1:7" x14ac:dyDescent="0.25">
      <c r="A1129" t="s">
        <v>22</v>
      </c>
      <c r="B1129" s="3" t="s">
        <v>7</v>
      </c>
      <c r="C1129" t="s">
        <v>28</v>
      </c>
      <c r="D1129">
        <v>2</v>
      </c>
      <c r="E1129" s="3" t="s">
        <v>11</v>
      </c>
      <c r="F1129" s="3" t="s">
        <v>12</v>
      </c>
      <c r="G1129">
        <v>5836.52</v>
      </c>
    </row>
    <row r="1130" spans="1:7" x14ac:dyDescent="0.25">
      <c r="A1130" t="s">
        <v>22</v>
      </c>
      <c r="B1130" s="3" t="s">
        <v>10</v>
      </c>
      <c r="C1130" t="s">
        <v>20</v>
      </c>
      <c r="D1130">
        <v>1</v>
      </c>
      <c r="E1130" s="3" t="s">
        <v>11</v>
      </c>
      <c r="F1130" s="3" t="s">
        <v>9</v>
      </c>
      <c r="G1130">
        <v>14358.36</v>
      </c>
    </row>
    <row r="1131" spans="1:7" x14ac:dyDescent="0.25">
      <c r="A1131" t="s">
        <v>17</v>
      </c>
      <c r="B1131" s="3" t="s">
        <v>7</v>
      </c>
      <c r="C1131" t="s">
        <v>23</v>
      </c>
      <c r="D1131">
        <v>0</v>
      </c>
      <c r="E1131" s="3" t="s">
        <v>11</v>
      </c>
      <c r="F1131" s="3" t="s">
        <v>9</v>
      </c>
      <c r="G1131">
        <v>1728.9</v>
      </c>
    </row>
    <row r="1132" spans="1:7" x14ac:dyDescent="0.25">
      <c r="A1132" t="s">
        <v>25</v>
      </c>
      <c r="B1132" s="3" t="s">
        <v>7</v>
      </c>
      <c r="C1132" t="s">
        <v>23</v>
      </c>
      <c r="D1132">
        <v>5</v>
      </c>
      <c r="E1132" s="3" t="s">
        <v>11</v>
      </c>
      <c r="F1132" s="3" t="s">
        <v>12</v>
      </c>
      <c r="G1132">
        <v>8582.2999999999993</v>
      </c>
    </row>
    <row r="1133" spans="1:7" x14ac:dyDescent="0.25">
      <c r="A1133" t="s">
        <v>21</v>
      </c>
      <c r="B1133" s="3" t="s">
        <v>10</v>
      </c>
      <c r="C1133" t="s">
        <v>29</v>
      </c>
      <c r="D1133">
        <v>2</v>
      </c>
      <c r="E1133" s="3" t="s">
        <v>11</v>
      </c>
      <c r="F1133" s="3" t="s">
        <v>9</v>
      </c>
      <c r="G1133">
        <v>3693.43</v>
      </c>
    </row>
    <row r="1134" spans="1:7" x14ac:dyDescent="0.25">
      <c r="A1134" t="s">
        <v>26</v>
      </c>
      <c r="B1134" s="3" t="s">
        <v>10</v>
      </c>
      <c r="C1134" t="s">
        <v>29</v>
      </c>
      <c r="D1134">
        <v>0</v>
      </c>
      <c r="E1134" s="3" t="s">
        <v>11</v>
      </c>
      <c r="F1134" s="3" t="s">
        <v>14</v>
      </c>
      <c r="G1134">
        <v>20709.02</v>
      </c>
    </row>
    <row r="1135" spans="1:7" x14ac:dyDescent="0.25">
      <c r="A1135" t="s">
        <v>30</v>
      </c>
      <c r="B1135" s="3" t="s">
        <v>7</v>
      </c>
      <c r="C1135" t="s">
        <v>31</v>
      </c>
      <c r="D1135">
        <v>0</v>
      </c>
      <c r="E1135" s="3" t="s">
        <v>11</v>
      </c>
      <c r="F1135" s="3" t="s">
        <v>13</v>
      </c>
      <c r="G1135">
        <v>9991.0400000000009</v>
      </c>
    </row>
    <row r="1136" spans="1:7" x14ac:dyDescent="0.25">
      <c r="A1136" t="s">
        <v>21</v>
      </c>
      <c r="B1136" s="3" t="s">
        <v>10</v>
      </c>
      <c r="C1136" t="s">
        <v>20</v>
      </c>
      <c r="D1136">
        <v>0</v>
      </c>
      <c r="E1136" s="3" t="s">
        <v>11</v>
      </c>
      <c r="F1136" s="3" t="s">
        <v>13</v>
      </c>
      <c r="G1136">
        <v>19673.34</v>
      </c>
    </row>
    <row r="1137" spans="1:7" x14ac:dyDescent="0.25">
      <c r="A1137" t="s">
        <v>24</v>
      </c>
      <c r="B1137" s="3" t="s">
        <v>7</v>
      </c>
      <c r="C1137" t="s">
        <v>18</v>
      </c>
      <c r="D1137">
        <v>3</v>
      </c>
      <c r="E1137" s="3" t="s">
        <v>11</v>
      </c>
      <c r="F1137" s="3" t="s">
        <v>13</v>
      </c>
      <c r="G1137">
        <v>11085.59</v>
      </c>
    </row>
    <row r="1138" spans="1:7" x14ac:dyDescent="0.25">
      <c r="A1138" t="s">
        <v>32</v>
      </c>
      <c r="B1138" s="3" t="s">
        <v>7</v>
      </c>
      <c r="C1138" t="s">
        <v>18</v>
      </c>
      <c r="D1138">
        <v>1</v>
      </c>
      <c r="E1138" s="3" t="s">
        <v>11</v>
      </c>
      <c r="F1138" s="3" t="s">
        <v>9</v>
      </c>
      <c r="G1138">
        <v>7623.52</v>
      </c>
    </row>
    <row r="1139" spans="1:7" x14ac:dyDescent="0.25">
      <c r="A1139" t="s">
        <v>21</v>
      </c>
      <c r="B1139" s="3" t="s">
        <v>7</v>
      </c>
      <c r="C1139" t="s">
        <v>23</v>
      </c>
      <c r="D1139">
        <v>0</v>
      </c>
      <c r="E1139" s="3" t="s">
        <v>11</v>
      </c>
      <c r="F1139" s="3" t="s">
        <v>13</v>
      </c>
      <c r="G1139">
        <v>3176.29</v>
      </c>
    </row>
    <row r="1140" spans="1:7" x14ac:dyDescent="0.25">
      <c r="A1140" t="s">
        <v>22</v>
      </c>
      <c r="B1140" s="3" t="s">
        <v>10</v>
      </c>
      <c r="C1140" t="s">
        <v>20</v>
      </c>
      <c r="D1140">
        <v>0</v>
      </c>
      <c r="E1140" s="3" t="s">
        <v>11</v>
      </c>
      <c r="F1140" s="3" t="s">
        <v>12</v>
      </c>
      <c r="G1140">
        <v>3704.35</v>
      </c>
    </row>
    <row r="1141" spans="1:7" x14ac:dyDescent="0.25">
      <c r="A1141" t="s">
        <v>17</v>
      </c>
      <c r="B1141" s="3" t="s">
        <v>7</v>
      </c>
      <c r="C1141" t="s">
        <v>20</v>
      </c>
      <c r="D1141">
        <v>0</v>
      </c>
      <c r="E1141" s="3" t="s">
        <v>8</v>
      </c>
      <c r="F1141" s="3" t="s">
        <v>13</v>
      </c>
      <c r="G1141">
        <v>36898.730000000003</v>
      </c>
    </row>
    <row r="1142" spans="1:7" x14ac:dyDescent="0.25">
      <c r="A1142" t="s">
        <v>24</v>
      </c>
      <c r="B1142" s="3" t="s">
        <v>10</v>
      </c>
      <c r="C1142" t="s">
        <v>28</v>
      </c>
      <c r="D1142">
        <v>1</v>
      </c>
      <c r="E1142" s="3" t="s">
        <v>11</v>
      </c>
      <c r="F1142" s="3" t="s">
        <v>12</v>
      </c>
      <c r="G1142">
        <v>9048.0300000000007</v>
      </c>
    </row>
    <row r="1143" spans="1:7" x14ac:dyDescent="0.25">
      <c r="A1143" t="s">
        <v>32</v>
      </c>
      <c r="B1143" s="3" t="s">
        <v>7</v>
      </c>
      <c r="C1143" t="s">
        <v>20</v>
      </c>
      <c r="D1143">
        <v>3</v>
      </c>
      <c r="E1143" s="3" t="s">
        <v>11</v>
      </c>
      <c r="F1143" s="3" t="s">
        <v>9</v>
      </c>
      <c r="G1143">
        <v>7954.52</v>
      </c>
    </row>
    <row r="1144" spans="1:7" x14ac:dyDescent="0.25">
      <c r="A1144" t="s">
        <v>30</v>
      </c>
      <c r="B1144" s="3" t="s">
        <v>7</v>
      </c>
      <c r="C1144" t="s">
        <v>23</v>
      </c>
      <c r="D1144">
        <v>0</v>
      </c>
      <c r="E1144" s="3" t="s">
        <v>11</v>
      </c>
      <c r="F1144" s="3" t="s">
        <v>12</v>
      </c>
      <c r="G1144">
        <v>27117.99</v>
      </c>
    </row>
    <row r="1145" spans="1:7" x14ac:dyDescent="0.25">
      <c r="A1145" t="s">
        <v>25</v>
      </c>
      <c r="B1145" s="3" t="s">
        <v>10</v>
      </c>
      <c r="C1145" t="s">
        <v>20</v>
      </c>
      <c r="D1145">
        <v>2</v>
      </c>
      <c r="E1145" s="3" t="s">
        <v>11</v>
      </c>
      <c r="F1145" s="3" t="s">
        <v>12</v>
      </c>
      <c r="G1145">
        <v>6338.08</v>
      </c>
    </row>
    <row r="1146" spans="1:7" x14ac:dyDescent="0.25">
      <c r="A1146" t="s">
        <v>24</v>
      </c>
      <c r="B1146" s="3" t="s">
        <v>10</v>
      </c>
      <c r="C1146" t="s">
        <v>20</v>
      </c>
      <c r="D1146">
        <v>2</v>
      </c>
      <c r="E1146" s="3" t="s">
        <v>11</v>
      </c>
      <c r="F1146" s="3" t="s">
        <v>9</v>
      </c>
      <c r="G1146">
        <v>9630.4</v>
      </c>
    </row>
    <row r="1147" spans="1:7" x14ac:dyDescent="0.25">
      <c r="A1147" t="s">
        <v>30</v>
      </c>
      <c r="B1147" s="3" t="s">
        <v>10</v>
      </c>
      <c r="C1147" t="s">
        <v>20</v>
      </c>
      <c r="D1147">
        <v>3</v>
      </c>
      <c r="E1147" s="3" t="s">
        <v>11</v>
      </c>
      <c r="F1147" s="3" t="s">
        <v>13</v>
      </c>
      <c r="G1147">
        <v>11289.11</v>
      </c>
    </row>
    <row r="1148" spans="1:7" x14ac:dyDescent="0.25">
      <c r="A1148" t="s">
        <v>26</v>
      </c>
      <c r="B1148" s="3" t="s">
        <v>10</v>
      </c>
      <c r="C1148" t="s">
        <v>20</v>
      </c>
      <c r="D1148">
        <v>0</v>
      </c>
      <c r="E1148" s="3" t="s">
        <v>8</v>
      </c>
      <c r="F1148" s="3" t="s">
        <v>9</v>
      </c>
      <c r="G1148">
        <v>52590.83</v>
      </c>
    </row>
    <row r="1149" spans="1:7" x14ac:dyDescent="0.25">
      <c r="A1149" t="s">
        <v>17</v>
      </c>
      <c r="B1149" s="3" t="s">
        <v>7</v>
      </c>
      <c r="C1149" t="s">
        <v>20</v>
      </c>
      <c r="D1149">
        <v>0</v>
      </c>
      <c r="E1149" s="3" t="s">
        <v>11</v>
      </c>
      <c r="F1149" s="3" t="s">
        <v>13</v>
      </c>
      <c r="G1149">
        <v>2261.5700000000002</v>
      </c>
    </row>
    <row r="1150" spans="1:7" x14ac:dyDescent="0.25">
      <c r="A1150" t="s">
        <v>30</v>
      </c>
      <c r="B1150" s="3" t="s">
        <v>10</v>
      </c>
      <c r="C1150" t="s">
        <v>23</v>
      </c>
      <c r="D1150">
        <v>1</v>
      </c>
      <c r="E1150" s="3" t="s">
        <v>11</v>
      </c>
      <c r="F1150" s="3" t="s">
        <v>9</v>
      </c>
      <c r="G1150">
        <v>10791.96</v>
      </c>
    </row>
    <row r="1151" spans="1:7" x14ac:dyDescent="0.25">
      <c r="A1151" t="s">
        <v>32</v>
      </c>
      <c r="B1151" s="3" t="s">
        <v>10</v>
      </c>
      <c r="C1151" t="s">
        <v>20</v>
      </c>
      <c r="D1151">
        <v>0</v>
      </c>
      <c r="E1151" s="3" t="s">
        <v>11</v>
      </c>
      <c r="F1151" s="3" t="s">
        <v>9</v>
      </c>
      <c r="G1151">
        <v>5979.73</v>
      </c>
    </row>
    <row r="1152" spans="1:7" x14ac:dyDescent="0.25">
      <c r="A1152" t="s">
        <v>19</v>
      </c>
      <c r="B1152" s="3" t="s">
        <v>7</v>
      </c>
      <c r="C1152" t="s">
        <v>20</v>
      </c>
      <c r="D1152">
        <v>0</v>
      </c>
      <c r="E1152" s="3" t="s">
        <v>11</v>
      </c>
      <c r="F1152" s="3" t="s">
        <v>14</v>
      </c>
      <c r="G1152">
        <v>2203.7399999999998</v>
      </c>
    </row>
    <row r="1153" spans="1:7" x14ac:dyDescent="0.25">
      <c r="A1153" t="s">
        <v>26</v>
      </c>
      <c r="B1153" s="3" t="s">
        <v>7</v>
      </c>
      <c r="C1153" t="s">
        <v>28</v>
      </c>
      <c r="D1153">
        <v>0</v>
      </c>
      <c r="E1153" s="3" t="s">
        <v>11</v>
      </c>
      <c r="F1153" s="3" t="s">
        <v>13</v>
      </c>
      <c r="G1153">
        <v>12235.84</v>
      </c>
    </row>
    <row r="1154" spans="1:7" x14ac:dyDescent="0.25">
      <c r="A1154" t="s">
        <v>32</v>
      </c>
      <c r="B1154" s="3" t="s">
        <v>7</v>
      </c>
      <c r="C1154" t="s">
        <v>20</v>
      </c>
      <c r="D1154">
        <v>3</v>
      </c>
      <c r="E1154" s="3" t="s">
        <v>8</v>
      </c>
      <c r="F1154" s="3" t="s">
        <v>12</v>
      </c>
      <c r="G1154">
        <v>40941.29</v>
      </c>
    </row>
    <row r="1155" spans="1:7" x14ac:dyDescent="0.25">
      <c r="A1155" t="s">
        <v>22</v>
      </c>
      <c r="B1155" s="3" t="s">
        <v>7</v>
      </c>
      <c r="C1155" t="s">
        <v>28</v>
      </c>
      <c r="D1155">
        <v>1</v>
      </c>
      <c r="E1155" s="3" t="s">
        <v>11</v>
      </c>
      <c r="F1155" s="3" t="s">
        <v>13</v>
      </c>
      <c r="G1155">
        <v>5630.46</v>
      </c>
    </row>
    <row r="1156" spans="1:7" x14ac:dyDescent="0.25">
      <c r="A1156" t="s">
        <v>24</v>
      </c>
      <c r="B1156" s="3" t="s">
        <v>7</v>
      </c>
      <c r="C1156" t="s">
        <v>18</v>
      </c>
      <c r="D1156">
        <v>4</v>
      </c>
      <c r="E1156" s="3" t="s">
        <v>11</v>
      </c>
      <c r="F1156" s="3" t="s">
        <v>13</v>
      </c>
      <c r="G1156">
        <v>11015.17</v>
      </c>
    </row>
    <row r="1157" spans="1:7" x14ac:dyDescent="0.25">
      <c r="A1157" t="s">
        <v>25</v>
      </c>
      <c r="B1157" s="3" t="s">
        <v>7</v>
      </c>
      <c r="C1157" t="s">
        <v>23</v>
      </c>
      <c r="D1157">
        <v>3</v>
      </c>
      <c r="E1157" s="3" t="s">
        <v>11</v>
      </c>
      <c r="F1157" s="3" t="s">
        <v>14</v>
      </c>
      <c r="G1157">
        <v>7228.22</v>
      </c>
    </row>
    <row r="1158" spans="1:7" x14ac:dyDescent="0.25">
      <c r="A1158" t="s">
        <v>17</v>
      </c>
      <c r="B1158" s="3" t="s">
        <v>10</v>
      </c>
      <c r="C1158" t="s">
        <v>29</v>
      </c>
      <c r="D1158">
        <v>0</v>
      </c>
      <c r="E1158" s="3" t="s">
        <v>8</v>
      </c>
      <c r="F1158" s="3" t="s">
        <v>12</v>
      </c>
      <c r="G1158">
        <v>39722.75</v>
      </c>
    </row>
    <row r="1159" spans="1:7" x14ac:dyDescent="0.25">
      <c r="A1159" t="s">
        <v>17</v>
      </c>
      <c r="B1159" s="3" t="s">
        <v>7</v>
      </c>
      <c r="C1159" t="s">
        <v>23</v>
      </c>
      <c r="D1159">
        <v>2</v>
      </c>
      <c r="E1159" s="3" t="s">
        <v>11</v>
      </c>
      <c r="F1159" s="3" t="s">
        <v>13</v>
      </c>
      <c r="G1159">
        <v>14426.07</v>
      </c>
    </row>
    <row r="1160" spans="1:7" x14ac:dyDescent="0.25">
      <c r="A1160" t="s">
        <v>17</v>
      </c>
      <c r="B1160" s="3" t="s">
        <v>7</v>
      </c>
      <c r="C1160" t="s">
        <v>20</v>
      </c>
      <c r="D1160">
        <v>0</v>
      </c>
      <c r="E1160" s="3" t="s">
        <v>11</v>
      </c>
      <c r="F1160" s="3" t="s">
        <v>14</v>
      </c>
      <c r="G1160">
        <v>2459.7199999999998</v>
      </c>
    </row>
    <row r="1161" spans="1:7" x14ac:dyDescent="0.25">
      <c r="A1161" t="s">
        <v>22</v>
      </c>
      <c r="B1161" s="3" t="s">
        <v>7</v>
      </c>
      <c r="C1161" t="s">
        <v>29</v>
      </c>
      <c r="D1161">
        <v>0</v>
      </c>
      <c r="E1161" s="3" t="s">
        <v>11</v>
      </c>
      <c r="F1161" s="3" t="s">
        <v>9</v>
      </c>
      <c r="G1161">
        <v>3989.84</v>
      </c>
    </row>
    <row r="1162" spans="1:7" x14ac:dyDescent="0.25">
      <c r="A1162" t="s">
        <v>32</v>
      </c>
      <c r="B1162" s="3" t="s">
        <v>7</v>
      </c>
      <c r="C1162" t="s">
        <v>20</v>
      </c>
      <c r="D1162">
        <v>1</v>
      </c>
      <c r="E1162" s="3" t="s">
        <v>11</v>
      </c>
      <c r="F1162" s="3" t="s">
        <v>13</v>
      </c>
      <c r="G1162">
        <v>7727.25</v>
      </c>
    </row>
    <row r="1163" spans="1:7" x14ac:dyDescent="0.25">
      <c r="A1163" t="s">
        <v>22</v>
      </c>
      <c r="B1163" s="3" t="s">
        <v>10</v>
      </c>
      <c r="C1163" t="s">
        <v>29</v>
      </c>
      <c r="D1163">
        <v>2</v>
      </c>
      <c r="E1163" s="3" t="s">
        <v>11</v>
      </c>
      <c r="F1163" s="3" t="s">
        <v>12</v>
      </c>
      <c r="G1163">
        <v>5124.1899999999996</v>
      </c>
    </row>
    <row r="1164" spans="1:7" x14ac:dyDescent="0.25">
      <c r="A1164" t="s">
        <v>21</v>
      </c>
      <c r="B1164" s="3" t="s">
        <v>10</v>
      </c>
      <c r="C1164" t="s">
        <v>28</v>
      </c>
      <c r="D1164">
        <v>1</v>
      </c>
      <c r="E1164" s="3" t="s">
        <v>11</v>
      </c>
      <c r="F1164" s="3" t="s">
        <v>12</v>
      </c>
      <c r="G1164">
        <v>18963.169999999998</v>
      </c>
    </row>
    <row r="1165" spans="1:7" x14ac:dyDescent="0.25">
      <c r="A1165" t="s">
        <v>19</v>
      </c>
      <c r="B1165" s="3" t="s">
        <v>7</v>
      </c>
      <c r="C1165" t="s">
        <v>18</v>
      </c>
      <c r="D1165">
        <v>0</v>
      </c>
      <c r="E1165" s="3" t="s">
        <v>11</v>
      </c>
      <c r="F1165" s="3" t="s">
        <v>14</v>
      </c>
      <c r="G1165">
        <v>2200.83</v>
      </c>
    </row>
    <row r="1166" spans="1:7" x14ac:dyDescent="0.25">
      <c r="A1166" t="s">
        <v>32</v>
      </c>
      <c r="B1166" s="3" t="s">
        <v>7</v>
      </c>
      <c r="C1166" t="s">
        <v>18</v>
      </c>
      <c r="D1166">
        <v>1</v>
      </c>
      <c r="E1166" s="3" t="s">
        <v>11</v>
      </c>
      <c r="F1166" s="3" t="s">
        <v>13</v>
      </c>
      <c r="G1166">
        <v>7153.55</v>
      </c>
    </row>
    <row r="1167" spans="1:7" x14ac:dyDescent="0.25">
      <c r="A1167" t="s">
        <v>22</v>
      </c>
      <c r="B1167" s="3" t="s">
        <v>7</v>
      </c>
      <c r="C1167" t="s">
        <v>18</v>
      </c>
      <c r="D1167">
        <v>0</v>
      </c>
      <c r="E1167" s="3" t="s">
        <v>11</v>
      </c>
      <c r="F1167" s="3" t="s">
        <v>14</v>
      </c>
      <c r="G1167">
        <v>5227.99</v>
      </c>
    </row>
    <row r="1168" spans="1:7" x14ac:dyDescent="0.25">
      <c r="A1168" t="s">
        <v>26</v>
      </c>
      <c r="B1168" s="3" t="s">
        <v>10</v>
      </c>
      <c r="C1168" t="s">
        <v>29</v>
      </c>
      <c r="D1168">
        <v>0</v>
      </c>
      <c r="E1168" s="3" t="s">
        <v>11</v>
      </c>
      <c r="F1168" s="3" t="s">
        <v>12</v>
      </c>
      <c r="G1168">
        <v>10982.5</v>
      </c>
    </row>
    <row r="1169" spans="1:7" x14ac:dyDescent="0.25">
      <c r="A1169" t="s">
        <v>21</v>
      </c>
      <c r="B1169" s="3" t="s">
        <v>7</v>
      </c>
      <c r="C1169" t="s">
        <v>23</v>
      </c>
      <c r="D1169">
        <v>2</v>
      </c>
      <c r="E1169" s="3" t="s">
        <v>11</v>
      </c>
      <c r="F1169" s="3" t="s">
        <v>9</v>
      </c>
      <c r="G1169">
        <v>4529.4799999999996</v>
      </c>
    </row>
    <row r="1170" spans="1:7" x14ac:dyDescent="0.25">
      <c r="A1170" t="s">
        <v>22</v>
      </c>
      <c r="B1170" s="3" t="s">
        <v>10</v>
      </c>
      <c r="C1170" t="s">
        <v>28</v>
      </c>
      <c r="D1170">
        <v>2</v>
      </c>
      <c r="E1170" s="3" t="s">
        <v>11</v>
      </c>
      <c r="F1170" s="3" t="s">
        <v>9</v>
      </c>
      <c r="G1170">
        <v>4670.6400000000003</v>
      </c>
    </row>
    <row r="1171" spans="1:7" x14ac:dyDescent="0.25">
      <c r="A1171" t="s">
        <v>25</v>
      </c>
      <c r="B1171" s="3" t="s">
        <v>7</v>
      </c>
      <c r="C1171" t="s">
        <v>20</v>
      </c>
      <c r="D1171">
        <v>1</v>
      </c>
      <c r="E1171" s="3" t="s">
        <v>11</v>
      </c>
      <c r="F1171" s="3" t="s">
        <v>13</v>
      </c>
      <c r="G1171">
        <v>6112.35</v>
      </c>
    </row>
    <row r="1172" spans="1:7" x14ac:dyDescent="0.25">
      <c r="A1172" t="s">
        <v>19</v>
      </c>
      <c r="B1172" s="3" t="s">
        <v>10</v>
      </c>
      <c r="C1172" t="s">
        <v>18</v>
      </c>
      <c r="D1172">
        <v>1</v>
      </c>
      <c r="E1172" s="3" t="s">
        <v>8</v>
      </c>
      <c r="F1172" s="3" t="s">
        <v>14</v>
      </c>
      <c r="G1172">
        <v>17178.68</v>
      </c>
    </row>
    <row r="1173" spans="1:7" x14ac:dyDescent="0.25">
      <c r="A1173" t="s">
        <v>32</v>
      </c>
      <c r="B1173" s="3" t="s">
        <v>7</v>
      </c>
      <c r="C1173" t="s">
        <v>18</v>
      </c>
      <c r="D1173">
        <v>2</v>
      </c>
      <c r="E1173" s="3" t="s">
        <v>8</v>
      </c>
      <c r="F1173" s="3" t="s">
        <v>9</v>
      </c>
      <c r="G1173">
        <v>22478.6</v>
      </c>
    </row>
    <row r="1174" spans="1:7" x14ac:dyDescent="0.25">
      <c r="A1174" t="s">
        <v>26</v>
      </c>
      <c r="B1174" s="3" t="s">
        <v>7</v>
      </c>
      <c r="C1174" t="s">
        <v>29</v>
      </c>
      <c r="D1174">
        <v>0</v>
      </c>
      <c r="E1174" s="3" t="s">
        <v>11</v>
      </c>
      <c r="F1174" s="3" t="s">
        <v>12</v>
      </c>
      <c r="G1174">
        <v>11093.62</v>
      </c>
    </row>
    <row r="1175" spans="1:7" x14ac:dyDescent="0.25">
      <c r="A1175" t="s">
        <v>25</v>
      </c>
      <c r="B1175" s="3" t="s">
        <v>10</v>
      </c>
      <c r="C1175" t="s">
        <v>18</v>
      </c>
      <c r="D1175">
        <v>2</v>
      </c>
      <c r="E1175" s="3" t="s">
        <v>11</v>
      </c>
      <c r="F1175" s="3" t="s">
        <v>13</v>
      </c>
      <c r="G1175">
        <v>6457.84</v>
      </c>
    </row>
    <row r="1176" spans="1:7" x14ac:dyDescent="0.25">
      <c r="A1176" t="s">
        <v>21</v>
      </c>
      <c r="B1176" s="3" t="s">
        <v>10</v>
      </c>
      <c r="C1176" t="s">
        <v>20</v>
      </c>
      <c r="D1176">
        <v>2</v>
      </c>
      <c r="E1176" s="3" t="s">
        <v>11</v>
      </c>
      <c r="F1176" s="3" t="s">
        <v>13</v>
      </c>
      <c r="G1176">
        <v>4433.92</v>
      </c>
    </row>
    <row r="1177" spans="1:7" x14ac:dyDescent="0.25">
      <c r="A1177" t="s">
        <v>17</v>
      </c>
      <c r="B1177" s="3" t="s">
        <v>7</v>
      </c>
      <c r="C1177" t="s">
        <v>18</v>
      </c>
      <c r="D1177">
        <v>0</v>
      </c>
      <c r="E1177" s="3" t="s">
        <v>11</v>
      </c>
      <c r="F1177" s="3" t="s">
        <v>9</v>
      </c>
      <c r="G1177">
        <v>2154.36</v>
      </c>
    </row>
    <row r="1178" spans="1:7" x14ac:dyDescent="0.25">
      <c r="A1178" t="s">
        <v>30</v>
      </c>
      <c r="B1178" s="3" t="s">
        <v>7</v>
      </c>
      <c r="C1178" t="s">
        <v>23</v>
      </c>
      <c r="D1178">
        <v>1</v>
      </c>
      <c r="E1178" s="3" t="s">
        <v>8</v>
      </c>
      <c r="F1178" s="3" t="s">
        <v>13</v>
      </c>
      <c r="G1178">
        <v>23887.66</v>
      </c>
    </row>
    <row r="1179" spans="1:7" x14ac:dyDescent="0.25">
      <c r="A1179" t="s">
        <v>25</v>
      </c>
      <c r="B1179" s="3" t="s">
        <v>7</v>
      </c>
      <c r="C1179" t="s">
        <v>18</v>
      </c>
      <c r="D1179">
        <v>1</v>
      </c>
      <c r="E1179" s="3" t="s">
        <v>11</v>
      </c>
      <c r="F1179" s="3" t="s">
        <v>9</v>
      </c>
      <c r="G1179">
        <v>6496.89</v>
      </c>
    </row>
    <row r="1180" spans="1:7" x14ac:dyDescent="0.25">
      <c r="A1180" t="s">
        <v>17</v>
      </c>
      <c r="B1180" s="3" t="s">
        <v>7</v>
      </c>
      <c r="C1180" t="s">
        <v>20</v>
      </c>
      <c r="D1180">
        <v>0</v>
      </c>
      <c r="E1180" s="3" t="s">
        <v>11</v>
      </c>
      <c r="F1180" s="3" t="s">
        <v>14</v>
      </c>
      <c r="G1180">
        <v>2899.49</v>
      </c>
    </row>
    <row r="1181" spans="1:7" x14ac:dyDescent="0.25">
      <c r="A1181" t="s">
        <v>22</v>
      </c>
      <c r="B1181" s="3" t="s">
        <v>10</v>
      </c>
      <c r="C1181" t="s">
        <v>18</v>
      </c>
      <c r="D1181">
        <v>0</v>
      </c>
      <c r="E1181" s="3" t="s">
        <v>8</v>
      </c>
      <c r="F1181" s="3" t="s">
        <v>12</v>
      </c>
      <c r="G1181">
        <v>19350.37</v>
      </c>
    </row>
    <row r="1182" spans="1:7" x14ac:dyDescent="0.25">
      <c r="A1182" t="s">
        <v>32</v>
      </c>
      <c r="B1182" s="3" t="s">
        <v>7</v>
      </c>
      <c r="C1182" t="s">
        <v>29</v>
      </c>
      <c r="D1182">
        <v>1</v>
      </c>
      <c r="E1182" s="3" t="s">
        <v>11</v>
      </c>
      <c r="F1182" s="3" t="s">
        <v>14</v>
      </c>
      <c r="G1182">
        <v>7650.77</v>
      </c>
    </row>
    <row r="1183" spans="1:7" x14ac:dyDescent="0.25">
      <c r="A1183" t="s">
        <v>17</v>
      </c>
      <c r="B1183" s="3" t="s">
        <v>7</v>
      </c>
      <c r="C1183" t="s">
        <v>20</v>
      </c>
      <c r="D1183">
        <v>0</v>
      </c>
      <c r="E1183" s="3" t="s">
        <v>11</v>
      </c>
      <c r="F1183" s="3" t="s">
        <v>13</v>
      </c>
      <c r="G1183">
        <v>2850.68</v>
      </c>
    </row>
    <row r="1184" spans="1:7" x14ac:dyDescent="0.25">
      <c r="A1184" t="s">
        <v>17</v>
      </c>
      <c r="B1184" s="3" t="s">
        <v>7</v>
      </c>
      <c r="C1184" t="s">
        <v>20</v>
      </c>
      <c r="D1184">
        <v>0</v>
      </c>
      <c r="E1184" s="3" t="s">
        <v>11</v>
      </c>
      <c r="F1184" s="3" t="s">
        <v>9</v>
      </c>
      <c r="G1184">
        <v>2632.99</v>
      </c>
    </row>
    <row r="1185" spans="1:7" x14ac:dyDescent="0.25">
      <c r="A1185" t="s">
        <v>24</v>
      </c>
      <c r="B1185" s="3" t="s">
        <v>7</v>
      </c>
      <c r="C1185" t="s">
        <v>18</v>
      </c>
      <c r="D1185">
        <v>1</v>
      </c>
      <c r="E1185" s="3" t="s">
        <v>11</v>
      </c>
      <c r="F1185" s="3" t="s">
        <v>14</v>
      </c>
      <c r="G1185">
        <v>9447.3799999999992</v>
      </c>
    </row>
    <row r="1186" spans="1:7" x14ac:dyDescent="0.25">
      <c r="A1186" t="s">
        <v>17</v>
      </c>
      <c r="B1186" s="3" t="s">
        <v>7</v>
      </c>
      <c r="C1186" t="s">
        <v>18</v>
      </c>
      <c r="D1186">
        <v>1</v>
      </c>
      <c r="E1186" s="3" t="s">
        <v>8</v>
      </c>
      <c r="F1186" s="3" t="s">
        <v>12</v>
      </c>
      <c r="G1186">
        <v>18328.240000000002</v>
      </c>
    </row>
    <row r="1187" spans="1:7" x14ac:dyDescent="0.25">
      <c r="A1187" t="s">
        <v>32</v>
      </c>
      <c r="B1187" s="3" t="s">
        <v>10</v>
      </c>
      <c r="C1187" t="s">
        <v>23</v>
      </c>
      <c r="D1187">
        <v>2</v>
      </c>
      <c r="E1187" s="3" t="s">
        <v>11</v>
      </c>
      <c r="F1187" s="3" t="s">
        <v>14</v>
      </c>
      <c r="G1187">
        <v>8603.82</v>
      </c>
    </row>
    <row r="1188" spans="1:7" x14ac:dyDescent="0.25">
      <c r="A1188" t="s">
        <v>17</v>
      </c>
      <c r="B1188" s="3" t="s">
        <v>10</v>
      </c>
      <c r="C1188" t="s">
        <v>28</v>
      </c>
      <c r="D1188">
        <v>3</v>
      </c>
      <c r="E1188" s="3" t="s">
        <v>8</v>
      </c>
      <c r="F1188" s="3" t="s">
        <v>13</v>
      </c>
      <c r="G1188">
        <v>37465.339999999997</v>
      </c>
    </row>
    <row r="1189" spans="1:7" x14ac:dyDescent="0.25">
      <c r="A1189" t="s">
        <v>27</v>
      </c>
      <c r="B1189" s="3" t="s">
        <v>7</v>
      </c>
      <c r="C1189" t="s">
        <v>20</v>
      </c>
      <c r="D1189">
        <v>0</v>
      </c>
      <c r="E1189" s="3" t="s">
        <v>11</v>
      </c>
      <c r="F1189" s="3" t="s">
        <v>13</v>
      </c>
      <c r="G1189">
        <v>13844.8</v>
      </c>
    </row>
    <row r="1190" spans="1:7" x14ac:dyDescent="0.25">
      <c r="A1190" t="s">
        <v>32</v>
      </c>
      <c r="B1190" s="3" t="s">
        <v>7</v>
      </c>
      <c r="C1190" t="s">
        <v>18</v>
      </c>
      <c r="D1190">
        <v>1</v>
      </c>
      <c r="E1190" s="3" t="s">
        <v>8</v>
      </c>
      <c r="F1190" s="3" t="s">
        <v>14</v>
      </c>
      <c r="G1190">
        <v>21771.34</v>
      </c>
    </row>
    <row r="1191" spans="1:7" x14ac:dyDescent="0.25">
      <c r="A1191" t="s">
        <v>17</v>
      </c>
      <c r="B1191" s="3" t="s">
        <v>7</v>
      </c>
      <c r="C1191" t="s">
        <v>18</v>
      </c>
      <c r="D1191">
        <v>0</v>
      </c>
      <c r="E1191" s="3" t="s">
        <v>11</v>
      </c>
      <c r="F1191" s="3" t="s">
        <v>9</v>
      </c>
      <c r="G1191">
        <v>13126.68</v>
      </c>
    </row>
    <row r="1192" spans="1:7" x14ac:dyDescent="0.25">
      <c r="A1192" t="s">
        <v>22</v>
      </c>
      <c r="B1192" s="3" t="s">
        <v>7</v>
      </c>
      <c r="C1192" t="s">
        <v>20</v>
      </c>
      <c r="D1192">
        <v>2</v>
      </c>
      <c r="E1192" s="3" t="s">
        <v>11</v>
      </c>
      <c r="F1192" s="3" t="s">
        <v>13</v>
      </c>
      <c r="G1192">
        <v>5327.4</v>
      </c>
    </row>
    <row r="1193" spans="1:7" x14ac:dyDescent="0.25">
      <c r="A1193" t="s">
        <v>32</v>
      </c>
      <c r="B1193" s="3" t="s">
        <v>7</v>
      </c>
      <c r="C1193" t="s">
        <v>23</v>
      </c>
      <c r="D1193">
        <v>1</v>
      </c>
      <c r="E1193" s="3" t="s">
        <v>11</v>
      </c>
      <c r="F1193" s="3" t="s">
        <v>14</v>
      </c>
      <c r="G1193">
        <v>13725.47</v>
      </c>
    </row>
    <row r="1194" spans="1:7" x14ac:dyDescent="0.25">
      <c r="A1194" t="s">
        <v>26</v>
      </c>
      <c r="B1194" s="3" t="s">
        <v>7</v>
      </c>
      <c r="C1194" t="s">
        <v>20</v>
      </c>
      <c r="D1194">
        <v>1</v>
      </c>
      <c r="E1194" s="3" t="s">
        <v>11</v>
      </c>
      <c r="F1194" s="3" t="s">
        <v>14</v>
      </c>
      <c r="G1194">
        <v>13019.16</v>
      </c>
    </row>
    <row r="1195" spans="1:7" x14ac:dyDescent="0.25">
      <c r="A1195" t="s">
        <v>24</v>
      </c>
      <c r="B1195" s="3" t="s">
        <v>7</v>
      </c>
      <c r="C1195" t="s">
        <v>28</v>
      </c>
      <c r="D1195">
        <v>0</v>
      </c>
      <c r="E1195" s="3" t="s">
        <v>11</v>
      </c>
      <c r="F1195" s="3" t="s">
        <v>13</v>
      </c>
      <c r="G1195">
        <v>8671.19</v>
      </c>
    </row>
    <row r="1196" spans="1:7" x14ac:dyDescent="0.25">
      <c r="A1196" t="s">
        <v>22</v>
      </c>
      <c r="B1196" s="3" t="s">
        <v>7</v>
      </c>
      <c r="C1196" t="s">
        <v>23</v>
      </c>
      <c r="D1196">
        <v>0</v>
      </c>
      <c r="E1196" s="3" t="s">
        <v>11</v>
      </c>
      <c r="F1196" s="3" t="s">
        <v>13</v>
      </c>
      <c r="G1196">
        <v>4134.08</v>
      </c>
    </row>
    <row r="1197" spans="1:7" x14ac:dyDescent="0.25">
      <c r="A1197" t="s">
        <v>17</v>
      </c>
      <c r="B1197" s="3" t="s">
        <v>7</v>
      </c>
      <c r="C1197" t="s">
        <v>18</v>
      </c>
      <c r="D1197">
        <v>3</v>
      </c>
      <c r="E1197" s="3" t="s">
        <v>11</v>
      </c>
      <c r="F1197" s="3" t="s">
        <v>13</v>
      </c>
      <c r="G1197">
        <v>18838.7</v>
      </c>
    </row>
    <row r="1198" spans="1:7" x14ac:dyDescent="0.25">
      <c r="A1198" t="s">
        <v>17</v>
      </c>
      <c r="B1198" s="3" t="s">
        <v>7</v>
      </c>
      <c r="C1198" t="s">
        <v>20</v>
      </c>
      <c r="D1198">
        <v>0</v>
      </c>
      <c r="E1198" s="3" t="s">
        <v>8</v>
      </c>
      <c r="F1198" s="3" t="s">
        <v>13</v>
      </c>
      <c r="G1198">
        <v>33307.550000000003</v>
      </c>
    </row>
    <row r="1199" spans="1:7" x14ac:dyDescent="0.25">
      <c r="A1199" t="s">
        <v>32</v>
      </c>
      <c r="B1199" s="3" t="s">
        <v>10</v>
      </c>
      <c r="C1199" t="s">
        <v>20</v>
      </c>
      <c r="D1199">
        <v>0</v>
      </c>
      <c r="E1199" s="3" t="s">
        <v>11</v>
      </c>
      <c r="F1199" s="3" t="s">
        <v>12</v>
      </c>
      <c r="G1199">
        <v>5699.84</v>
      </c>
    </row>
    <row r="1200" spans="1:7" x14ac:dyDescent="0.25">
      <c r="A1200" t="s">
        <v>25</v>
      </c>
      <c r="B1200" s="3" t="s">
        <v>10</v>
      </c>
      <c r="C1200" t="s">
        <v>18</v>
      </c>
      <c r="D1200">
        <v>1</v>
      </c>
      <c r="E1200" s="3" t="s">
        <v>11</v>
      </c>
      <c r="F1200" s="3" t="s">
        <v>13</v>
      </c>
      <c r="G1200">
        <v>6393.6</v>
      </c>
    </row>
    <row r="1201" spans="1:7" x14ac:dyDescent="0.25">
      <c r="A1201" t="s">
        <v>22</v>
      </c>
      <c r="B1201" s="3" t="s">
        <v>7</v>
      </c>
      <c r="C1201" t="s">
        <v>18</v>
      </c>
      <c r="D1201">
        <v>2</v>
      </c>
      <c r="E1201" s="3" t="s">
        <v>11</v>
      </c>
      <c r="F1201" s="3" t="s">
        <v>9</v>
      </c>
      <c r="G1201">
        <v>4934.7</v>
      </c>
    </row>
    <row r="1202" spans="1:7" x14ac:dyDescent="0.25">
      <c r="A1202" t="s">
        <v>25</v>
      </c>
      <c r="B1202" s="3" t="s">
        <v>10</v>
      </c>
      <c r="C1202" t="s">
        <v>23</v>
      </c>
      <c r="D1202">
        <v>2</v>
      </c>
      <c r="E1202" s="3" t="s">
        <v>11</v>
      </c>
      <c r="F1202" s="3" t="s">
        <v>13</v>
      </c>
      <c r="G1202">
        <v>6198.75</v>
      </c>
    </row>
    <row r="1203" spans="1:7" x14ac:dyDescent="0.25">
      <c r="A1203" t="s">
        <v>24</v>
      </c>
      <c r="B1203" s="3" t="s">
        <v>10</v>
      </c>
      <c r="C1203" t="s">
        <v>29</v>
      </c>
      <c r="D1203">
        <v>2</v>
      </c>
      <c r="E1203" s="3" t="s">
        <v>11</v>
      </c>
      <c r="F1203" s="3" t="s">
        <v>13</v>
      </c>
      <c r="G1203">
        <v>8733.23</v>
      </c>
    </row>
    <row r="1204" spans="1:7" x14ac:dyDescent="0.25">
      <c r="A1204" t="s">
        <v>17</v>
      </c>
      <c r="B1204" s="3" t="s">
        <v>10</v>
      </c>
      <c r="C1204" t="s">
        <v>20</v>
      </c>
      <c r="D1204">
        <v>0</v>
      </c>
      <c r="E1204" s="3" t="s">
        <v>11</v>
      </c>
      <c r="F1204" s="3" t="s">
        <v>13</v>
      </c>
      <c r="G1204">
        <v>2055.3200000000002</v>
      </c>
    </row>
    <row r="1205" spans="1:7" x14ac:dyDescent="0.25">
      <c r="A1205" t="s">
        <v>30</v>
      </c>
      <c r="B1205" s="3" t="s">
        <v>10</v>
      </c>
      <c r="C1205" t="s">
        <v>20</v>
      </c>
      <c r="D1205">
        <v>1</v>
      </c>
      <c r="E1205" s="3" t="s">
        <v>11</v>
      </c>
      <c r="F1205" s="3" t="s">
        <v>14</v>
      </c>
      <c r="G1205">
        <v>9964.06</v>
      </c>
    </row>
    <row r="1206" spans="1:7" x14ac:dyDescent="0.25">
      <c r="A1206" t="s">
        <v>19</v>
      </c>
      <c r="B1206" s="3" t="s">
        <v>7</v>
      </c>
      <c r="C1206" t="s">
        <v>18</v>
      </c>
      <c r="D1206">
        <v>3</v>
      </c>
      <c r="E1206" s="3" t="s">
        <v>8</v>
      </c>
      <c r="F1206" s="3" t="s">
        <v>12</v>
      </c>
      <c r="G1206">
        <v>18223.45</v>
      </c>
    </row>
    <row r="1207" spans="1:7" x14ac:dyDescent="0.25">
      <c r="A1207" t="s">
        <v>22</v>
      </c>
      <c r="B1207" s="3" t="s">
        <v>10</v>
      </c>
      <c r="C1207" t="s">
        <v>31</v>
      </c>
      <c r="D1207">
        <v>1</v>
      </c>
      <c r="E1207" s="3" t="s">
        <v>11</v>
      </c>
      <c r="F1207" s="3" t="s">
        <v>13</v>
      </c>
      <c r="G1207">
        <v>5116.5</v>
      </c>
    </row>
    <row r="1208" spans="1:7" x14ac:dyDescent="0.25">
      <c r="A1208" t="s">
        <v>26</v>
      </c>
      <c r="B1208" s="3" t="s">
        <v>7</v>
      </c>
      <c r="C1208" t="s">
        <v>20</v>
      </c>
      <c r="D1208">
        <v>2</v>
      </c>
      <c r="E1208" s="3" t="s">
        <v>11</v>
      </c>
      <c r="F1208" s="3" t="s">
        <v>9</v>
      </c>
      <c r="G1208">
        <v>36910.61</v>
      </c>
    </row>
    <row r="1209" spans="1:7" x14ac:dyDescent="0.25">
      <c r="A1209" t="s">
        <v>25</v>
      </c>
      <c r="B1209" s="3" t="s">
        <v>10</v>
      </c>
      <c r="C1209" t="s">
        <v>20</v>
      </c>
      <c r="D1209">
        <v>2</v>
      </c>
      <c r="E1209" s="3" t="s">
        <v>8</v>
      </c>
      <c r="F1209" s="3" t="s">
        <v>9</v>
      </c>
      <c r="G1209">
        <v>38415.47</v>
      </c>
    </row>
    <row r="1210" spans="1:7" x14ac:dyDescent="0.25">
      <c r="A1210" t="s">
        <v>25</v>
      </c>
      <c r="B1210" s="3" t="s">
        <v>7</v>
      </c>
      <c r="C1210" t="s">
        <v>18</v>
      </c>
      <c r="D1210">
        <v>1</v>
      </c>
      <c r="E1210" s="3" t="s">
        <v>8</v>
      </c>
      <c r="F1210" s="3" t="s">
        <v>14</v>
      </c>
      <c r="G1210">
        <v>20296.86</v>
      </c>
    </row>
    <row r="1211" spans="1:7" x14ac:dyDescent="0.25">
      <c r="A1211" t="s">
        <v>26</v>
      </c>
      <c r="B1211" s="3" t="s">
        <v>10</v>
      </c>
      <c r="C1211" t="s">
        <v>28</v>
      </c>
      <c r="D1211">
        <v>1</v>
      </c>
      <c r="E1211" s="3" t="s">
        <v>11</v>
      </c>
      <c r="F1211" s="3" t="s">
        <v>9</v>
      </c>
      <c r="G1211">
        <v>12347.17</v>
      </c>
    </row>
    <row r="1212" spans="1:7" x14ac:dyDescent="0.25">
      <c r="A1212" t="s">
        <v>25</v>
      </c>
      <c r="B1212" s="3" t="s">
        <v>10</v>
      </c>
      <c r="C1212" t="s">
        <v>20</v>
      </c>
      <c r="D1212">
        <v>1</v>
      </c>
      <c r="E1212" s="3" t="s">
        <v>11</v>
      </c>
      <c r="F1212" s="3" t="s">
        <v>13</v>
      </c>
      <c r="G1212">
        <v>5373.36</v>
      </c>
    </row>
    <row r="1213" spans="1:7" x14ac:dyDescent="0.25">
      <c r="A1213" t="s">
        <v>25</v>
      </c>
      <c r="B1213" s="3" t="s">
        <v>10</v>
      </c>
      <c r="C1213" t="s">
        <v>20</v>
      </c>
      <c r="D1213">
        <v>2</v>
      </c>
      <c r="E1213" s="3" t="s">
        <v>11</v>
      </c>
      <c r="F1213" s="3" t="s">
        <v>12</v>
      </c>
      <c r="G1213">
        <v>23563.02</v>
      </c>
    </row>
    <row r="1214" spans="1:7" x14ac:dyDescent="0.25">
      <c r="A1214" t="s">
        <v>19</v>
      </c>
      <c r="B1214" s="3" t="s">
        <v>10</v>
      </c>
      <c r="C1214" t="s">
        <v>23</v>
      </c>
      <c r="D1214">
        <v>0</v>
      </c>
      <c r="E1214" s="3" t="s">
        <v>11</v>
      </c>
      <c r="F1214" s="3" t="s">
        <v>14</v>
      </c>
      <c r="G1214">
        <v>1702.46</v>
      </c>
    </row>
    <row r="1215" spans="1:7" x14ac:dyDescent="0.25">
      <c r="A1215" t="s">
        <v>30</v>
      </c>
      <c r="B1215" s="3" t="s">
        <v>7</v>
      </c>
      <c r="C1215" t="s">
        <v>20</v>
      </c>
      <c r="D1215">
        <v>2</v>
      </c>
      <c r="E1215" s="3" t="s">
        <v>11</v>
      </c>
      <c r="F1215" s="3" t="s">
        <v>9</v>
      </c>
      <c r="G1215">
        <v>10806.84</v>
      </c>
    </row>
    <row r="1216" spans="1:7" x14ac:dyDescent="0.25">
      <c r="A1216" t="s">
        <v>21</v>
      </c>
      <c r="B1216" s="3" t="s">
        <v>7</v>
      </c>
      <c r="C1216" t="s">
        <v>20</v>
      </c>
      <c r="D1216">
        <v>1</v>
      </c>
      <c r="E1216" s="3" t="s">
        <v>11</v>
      </c>
      <c r="F1216" s="3" t="s">
        <v>13</v>
      </c>
      <c r="G1216">
        <v>3956.07</v>
      </c>
    </row>
    <row r="1217" spans="1:7" x14ac:dyDescent="0.25">
      <c r="A1217" t="s">
        <v>19</v>
      </c>
      <c r="B1217" s="3" t="s">
        <v>10</v>
      </c>
      <c r="C1217" t="s">
        <v>28</v>
      </c>
      <c r="D1217">
        <v>0</v>
      </c>
      <c r="E1217" s="3" t="s">
        <v>11</v>
      </c>
      <c r="F1217" s="3" t="s">
        <v>14</v>
      </c>
      <c r="G1217">
        <v>12890.06</v>
      </c>
    </row>
    <row r="1218" spans="1:7" x14ac:dyDescent="0.25">
      <c r="A1218" t="s">
        <v>25</v>
      </c>
      <c r="B1218" s="3" t="s">
        <v>10</v>
      </c>
      <c r="C1218" t="s">
        <v>18</v>
      </c>
      <c r="D1218">
        <v>0</v>
      </c>
      <c r="E1218" s="3" t="s">
        <v>11</v>
      </c>
      <c r="F1218" s="3" t="s">
        <v>12</v>
      </c>
      <c r="G1218">
        <v>5415.66</v>
      </c>
    </row>
    <row r="1219" spans="1:7" x14ac:dyDescent="0.25">
      <c r="A1219" t="s">
        <v>21</v>
      </c>
      <c r="B1219" s="3" t="s">
        <v>10</v>
      </c>
      <c r="C1219" t="s">
        <v>28</v>
      </c>
      <c r="D1219">
        <v>2</v>
      </c>
      <c r="E1219" s="3" t="s">
        <v>11</v>
      </c>
      <c r="F1219" s="3" t="s">
        <v>12</v>
      </c>
      <c r="G1219">
        <v>4058.12</v>
      </c>
    </row>
    <row r="1220" spans="1:7" x14ac:dyDescent="0.25">
      <c r="A1220" t="s">
        <v>24</v>
      </c>
      <c r="B1220" s="3" t="s">
        <v>7</v>
      </c>
      <c r="C1220" t="s">
        <v>20</v>
      </c>
      <c r="D1220">
        <v>1</v>
      </c>
      <c r="E1220" s="3" t="s">
        <v>8</v>
      </c>
      <c r="F1220" s="3" t="s">
        <v>9</v>
      </c>
      <c r="G1220">
        <v>41661.599999999999</v>
      </c>
    </row>
    <row r="1221" spans="1:7" x14ac:dyDescent="0.25">
      <c r="A1221" t="s">
        <v>25</v>
      </c>
      <c r="B1221" s="3" t="s">
        <v>7</v>
      </c>
      <c r="C1221" t="s">
        <v>20</v>
      </c>
      <c r="D1221">
        <v>3</v>
      </c>
      <c r="E1221" s="3" t="s">
        <v>11</v>
      </c>
      <c r="F1221" s="3" t="s">
        <v>13</v>
      </c>
      <c r="G1221">
        <v>7537.16</v>
      </c>
    </row>
    <row r="1222" spans="1:7" x14ac:dyDescent="0.25">
      <c r="A1222" t="s">
        <v>21</v>
      </c>
      <c r="B1222" s="3" t="s">
        <v>7</v>
      </c>
      <c r="C1222" t="s">
        <v>23</v>
      </c>
      <c r="D1222">
        <v>1</v>
      </c>
      <c r="E1222" s="3" t="s">
        <v>11</v>
      </c>
      <c r="F1222" s="3" t="s">
        <v>14</v>
      </c>
      <c r="G1222">
        <v>4718.2</v>
      </c>
    </row>
    <row r="1223" spans="1:7" x14ac:dyDescent="0.25">
      <c r="A1223" t="s">
        <v>25</v>
      </c>
      <c r="B1223" s="3" t="s">
        <v>10</v>
      </c>
      <c r="C1223" t="s">
        <v>18</v>
      </c>
      <c r="D1223">
        <v>2</v>
      </c>
      <c r="E1223" s="3" t="s">
        <v>11</v>
      </c>
      <c r="F1223" s="3" t="s">
        <v>12</v>
      </c>
      <c r="G1223">
        <v>6593.51</v>
      </c>
    </row>
    <row r="1224" spans="1:7" x14ac:dyDescent="0.25">
      <c r="A1224" t="s">
        <v>24</v>
      </c>
      <c r="B1224" s="3" t="s">
        <v>10</v>
      </c>
      <c r="C1224" t="s">
        <v>18</v>
      </c>
      <c r="D1224">
        <v>0</v>
      </c>
      <c r="E1224" s="3" t="s">
        <v>11</v>
      </c>
      <c r="F1224" s="3" t="s">
        <v>12</v>
      </c>
      <c r="G1224">
        <v>8442.67</v>
      </c>
    </row>
    <row r="1225" spans="1:7" x14ac:dyDescent="0.25">
      <c r="A1225" t="s">
        <v>17</v>
      </c>
      <c r="B1225" s="3" t="s">
        <v>7</v>
      </c>
      <c r="C1225" t="s">
        <v>23</v>
      </c>
      <c r="D1225">
        <v>0</v>
      </c>
      <c r="E1225" s="3" t="s">
        <v>8</v>
      </c>
      <c r="F1225" s="3" t="s">
        <v>12</v>
      </c>
      <c r="G1225">
        <v>26125.67</v>
      </c>
    </row>
    <row r="1226" spans="1:7" x14ac:dyDescent="0.25">
      <c r="A1226" t="s">
        <v>32</v>
      </c>
      <c r="B1226" s="3" t="s">
        <v>10</v>
      </c>
      <c r="C1226" t="s">
        <v>23</v>
      </c>
      <c r="D1226">
        <v>1</v>
      </c>
      <c r="E1226" s="3" t="s">
        <v>11</v>
      </c>
      <c r="F1226" s="3" t="s">
        <v>14</v>
      </c>
      <c r="G1226">
        <v>6858.48</v>
      </c>
    </row>
    <row r="1227" spans="1:7" x14ac:dyDescent="0.25">
      <c r="A1227" t="s">
        <v>22</v>
      </c>
      <c r="B1227" s="3" t="s">
        <v>7</v>
      </c>
      <c r="C1227" t="s">
        <v>28</v>
      </c>
      <c r="D1227">
        <v>1</v>
      </c>
      <c r="E1227" s="3" t="s">
        <v>11</v>
      </c>
      <c r="F1227" s="3" t="s">
        <v>12</v>
      </c>
      <c r="G1227">
        <v>4795.66</v>
      </c>
    </row>
    <row r="1228" spans="1:7" x14ac:dyDescent="0.25">
      <c r="A1228" t="s">
        <v>25</v>
      </c>
      <c r="B1228" s="3" t="s">
        <v>10</v>
      </c>
      <c r="C1228" t="s">
        <v>31</v>
      </c>
      <c r="D1228">
        <v>2</v>
      </c>
      <c r="E1228" s="3" t="s">
        <v>11</v>
      </c>
      <c r="F1228" s="3" t="s">
        <v>14</v>
      </c>
      <c r="G1228">
        <v>6640.54</v>
      </c>
    </row>
    <row r="1229" spans="1:7" x14ac:dyDescent="0.25">
      <c r="A1229" t="s">
        <v>32</v>
      </c>
      <c r="B1229" s="3" t="s">
        <v>10</v>
      </c>
      <c r="C1229" t="s">
        <v>28</v>
      </c>
      <c r="D1229">
        <v>2</v>
      </c>
      <c r="E1229" s="3" t="s">
        <v>11</v>
      </c>
      <c r="F1229" s="3" t="s">
        <v>12</v>
      </c>
      <c r="G1229">
        <v>7162.01</v>
      </c>
    </row>
    <row r="1230" spans="1:7" x14ac:dyDescent="0.25">
      <c r="A1230" t="s">
        <v>26</v>
      </c>
      <c r="B1230" s="3" t="s">
        <v>10</v>
      </c>
      <c r="C1230" t="s">
        <v>20</v>
      </c>
      <c r="D1230">
        <v>0</v>
      </c>
      <c r="E1230" s="3" t="s">
        <v>11</v>
      </c>
      <c r="F1230" s="3" t="s">
        <v>12</v>
      </c>
      <c r="G1230">
        <v>10594.23</v>
      </c>
    </row>
    <row r="1231" spans="1:7" x14ac:dyDescent="0.25">
      <c r="A1231" t="s">
        <v>26</v>
      </c>
      <c r="B1231" s="3" t="s">
        <v>10</v>
      </c>
      <c r="C1231" t="s">
        <v>20</v>
      </c>
      <c r="D1231">
        <v>0</v>
      </c>
      <c r="E1231" s="3" t="s">
        <v>11</v>
      </c>
      <c r="F1231" s="3" t="s">
        <v>14</v>
      </c>
      <c r="G1231">
        <v>11938.26</v>
      </c>
    </row>
    <row r="1232" spans="1:7" x14ac:dyDescent="0.25">
      <c r="A1232" t="s">
        <v>30</v>
      </c>
      <c r="B1232" s="3" t="s">
        <v>10</v>
      </c>
      <c r="C1232" t="s">
        <v>20</v>
      </c>
      <c r="D1232">
        <v>3</v>
      </c>
      <c r="E1232" s="3" t="s">
        <v>8</v>
      </c>
      <c r="F1232" s="3" t="s">
        <v>13</v>
      </c>
      <c r="G1232">
        <v>60021.4</v>
      </c>
    </row>
    <row r="1233" spans="1:7" x14ac:dyDescent="0.25">
      <c r="A1233" t="s">
        <v>17</v>
      </c>
      <c r="B1233" s="3" t="s">
        <v>7</v>
      </c>
      <c r="C1233" t="s">
        <v>23</v>
      </c>
      <c r="D1233">
        <v>0</v>
      </c>
      <c r="E1233" s="3" t="s">
        <v>8</v>
      </c>
      <c r="F1233" s="3" t="s">
        <v>9</v>
      </c>
      <c r="G1233">
        <v>20167.34</v>
      </c>
    </row>
    <row r="1234" spans="1:7" x14ac:dyDescent="0.25">
      <c r="A1234" t="s">
        <v>30</v>
      </c>
      <c r="B1234" s="3" t="s">
        <v>7</v>
      </c>
      <c r="C1234" t="s">
        <v>23</v>
      </c>
      <c r="D1234">
        <v>3</v>
      </c>
      <c r="E1234" s="3" t="s">
        <v>11</v>
      </c>
      <c r="F1234" s="3" t="s">
        <v>13</v>
      </c>
      <c r="G1234">
        <v>12479.71</v>
      </c>
    </row>
    <row r="1235" spans="1:7" x14ac:dyDescent="0.25">
      <c r="A1235" t="s">
        <v>26</v>
      </c>
      <c r="B1235" s="3" t="s">
        <v>10</v>
      </c>
      <c r="C1235" t="s">
        <v>23</v>
      </c>
      <c r="D1235">
        <v>0</v>
      </c>
      <c r="E1235" s="3" t="s">
        <v>11</v>
      </c>
      <c r="F1235" s="3" t="s">
        <v>9</v>
      </c>
      <c r="G1235">
        <v>11345.52</v>
      </c>
    </row>
    <row r="1236" spans="1:7" x14ac:dyDescent="0.25">
      <c r="A1236" t="s">
        <v>32</v>
      </c>
      <c r="B1236" s="3" t="s">
        <v>7</v>
      </c>
      <c r="C1236" t="s">
        <v>18</v>
      </c>
      <c r="D1236">
        <v>2</v>
      </c>
      <c r="E1236" s="3" t="s">
        <v>11</v>
      </c>
      <c r="F1236" s="3" t="s">
        <v>12</v>
      </c>
      <c r="G1236">
        <v>8515.76</v>
      </c>
    </row>
    <row r="1237" spans="1:7" x14ac:dyDescent="0.25">
      <c r="A1237" t="s">
        <v>21</v>
      </c>
      <c r="B1237" s="3" t="s">
        <v>10</v>
      </c>
      <c r="C1237" t="s">
        <v>20</v>
      </c>
      <c r="D1237">
        <v>0</v>
      </c>
      <c r="E1237" s="3" t="s">
        <v>11</v>
      </c>
      <c r="F1237" s="3" t="s">
        <v>13</v>
      </c>
      <c r="G1237">
        <v>2699.57</v>
      </c>
    </row>
    <row r="1238" spans="1:7" x14ac:dyDescent="0.25">
      <c r="A1238" t="s">
        <v>27</v>
      </c>
      <c r="B1238" s="3" t="s">
        <v>7</v>
      </c>
      <c r="C1238" t="s">
        <v>23</v>
      </c>
      <c r="D1238">
        <v>0</v>
      </c>
      <c r="E1238" s="3" t="s">
        <v>11</v>
      </c>
      <c r="F1238" s="3" t="s">
        <v>14</v>
      </c>
      <c r="G1238">
        <v>14449.85</v>
      </c>
    </row>
    <row r="1239" spans="1:7" x14ac:dyDescent="0.25">
      <c r="A1239" t="s">
        <v>26</v>
      </c>
      <c r="B1239" s="3" t="s">
        <v>7</v>
      </c>
      <c r="C1239" t="s">
        <v>18</v>
      </c>
      <c r="D1239">
        <v>0</v>
      </c>
      <c r="E1239" s="3" t="s">
        <v>11</v>
      </c>
      <c r="F1239" s="3" t="s">
        <v>13</v>
      </c>
      <c r="G1239">
        <v>12224.35</v>
      </c>
    </row>
    <row r="1240" spans="1:7" x14ac:dyDescent="0.25">
      <c r="A1240" t="s">
        <v>25</v>
      </c>
      <c r="B1240" s="3" t="s">
        <v>10</v>
      </c>
      <c r="C1240" t="s">
        <v>23</v>
      </c>
      <c r="D1240">
        <v>3</v>
      </c>
      <c r="E1240" s="3" t="s">
        <v>11</v>
      </c>
      <c r="F1240" s="3" t="s">
        <v>14</v>
      </c>
      <c r="G1240">
        <v>6985.51</v>
      </c>
    </row>
    <row r="1241" spans="1:7" x14ac:dyDescent="0.25">
      <c r="A1241" t="s">
        <v>17</v>
      </c>
      <c r="B1241" s="3" t="s">
        <v>7</v>
      </c>
      <c r="C1241" t="s">
        <v>29</v>
      </c>
      <c r="D1241">
        <v>1</v>
      </c>
      <c r="E1241" s="3" t="s">
        <v>11</v>
      </c>
      <c r="F1241" s="3" t="s">
        <v>12</v>
      </c>
      <c r="G1241">
        <v>3238.44</v>
      </c>
    </row>
    <row r="1242" spans="1:7" x14ac:dyDescent="0.25">
      <c r="A1242" t="s">
        <v>30</v>
      </c>
      <c r="B1242" s="3" t="s">
        <v>10</v>
      </c>
      <c r="C1242" t="s">
        <v>29</v>
      </c>
      <c r="D1242">
        <v>2</v>
      </c>
      <c r="E1242" s="3" t="s">
        <v>8</v>
      </c>
      <c r="F1242" s="3" t="s">
        <v>12</v>
      </c>
      <c r="G1242">
        <v>47269.85</v>
      </c>
    </row>
    <row r="1243" spans="1:7" x14ac:dyDescent="0.25">
      <c r="A1243" t="s">
        <v>27</v>
      </c>
      <c r="B1243" s="3" t="s">
        <v>10</v>
      </c>
      <c r="C1243" t="s">
        <v>28</v>
      </c>
      <c r="D1243">
        <v>2</v>
      </c>
      <c r="E1243" s="3" t="s">
        <v>8</v>
      </c>
      <c r="F1243" s="3" t="s">
        <v>12</v>
      </c>
      <c r="G1243">
        <v>49577.66</v>
      </c>
    </row>
    <row r="1244" spans="1:7" x14ac:dyDescent="0.25">
      <c r="A1244" t="s">
        <v>17</v>
      </c>
      <c r="B1244" s="3" t="s">
        <v>7</v>
      </c>
      <c r="C1244" t="s">
        <v>23</v>
      </c>
      <c r="D1244">
        <v>3</v>
      </c>
      <c r="E1244" s="3" t="s">
        <v>11</v>
      </c>
      <c r="F1244" s="3" t="s">
        <v>13</v>
      </c>
      <c r="G1244">
        <v>4296.2700000000004</v>
      </c>
    </row>
    <row r="1245" spans="1:7" x14ac:dyDescent="0.25">
      <c r="A1245" t="s">
        <v>21</v>
      </c>
      <c r="B1245" s="3" t="s">
        <v>7</v>
      </c>
      <c r="C1245" t="s">
        <v>20</v>
      </c>
      <c r="D1245">
        <v>0</v>
      </c>
      <c r="E1245" s="3" t="s">
        <v>11</v>
      </c>
      <c r="F1245" s="3" t="s">
        <v>12</v>
      </c>
      <c r="G1245">
        <v>3171.61</v>
      </c>
    </row>
    <row r="1246" spans="1:7" x14ac:dyDescent="0.25">
      <c r="A1246" t="s">
        <v>19</v>
      </c>
      <c r="B1246" s="3" t="s">
        <v>10</v>
      </c>
      <c r="C1246" t="s">
        <v>20</v>
      </c>
      <c r="D1246">
        <v>0</v>
      </c>
      <c r="E1246" s="3" t="s">
        <v>11</v>
      </c>
      <c r="F1246" s="3" t="s">
        <v>12</v>
      </c>
      <c r="G1246">
        <v>1135.94</v>
      </c>
    </row>
    <row r="1247" spans="1:7" x14ac:dyDescent="0.25">
      <c r="A1247" t="s">
        <v>21</v>
      </c>
      <c r="B1247" s="3" t="s">
        <v>10</v>
      </c>
      <c r="C1247" t="s">
        <v>23</v>
      </c>
      <c r="D1247">
        <v>5</v>
      </c>
      <c r="E1247" s="3" t="s">
        <v>11</v>
      </c>
      <c r="F1247" s="3" t="s">
        <v>9</v>
      </c>
      <c r="G1247">
        <v>5615.37</v>
      </c>
    </row>
    <row r="1248" spans="1:7" x14ac:dyDescent="0.25">
      <c r="A1248" t="s">
        <v>32</v>
      </c>
      <c r="B1248" s="3" t="s">
        <v>7</v>
      </c>
      <c r="C1248" t="s">
        <v>18</v>
      </c>
      <c r="D1248">
        <v>3</v>
      </c>
      <c r="E1248" s="3" t="s">
        <v>11</v>
      </c>
      <c r="F1248" s="3" t="s">
        <v>9</v>
      </c>
      <c r="G1248">
        <v>9101.7999999999993</v>
      </c>
    </row>
    <row r="1249" spans="1:7" x14ac:dyDescent="0.25">
      <c r="A1249" t="s">
        <v>22</v>
      </c>
      <c r="B1249" s="3" t="s">
        <v>10</v>
      </c>
      <c r="C1249" t="s">
        <v>18</v>
      </c>
      <c r="D1249">
        <v>4</v>
      </c>
      <c r="E1249" s="3" t="s">
        <v>11</v>
      </c>
      <c r="F1249" s="3" t="s">
        <v>9</v>
      </c>
      <c r="G1249">
        <v>6059.17</v>
      </c>
    </row>
    <row r="1250" spans="1:7" x14ac:dyDescent="0.25">
      <c r="A1250" t="s">
        <v>19</v>
      </c>
      <c r="B1250" s="3" t="s">
        <v>7</v>
      </c>
      <c r="C1250" t="s">
        <v>28</v>
      </c>
      <c r="D1250">
        <v>0</v>
      </c>
      <c r="E1250" s="3" t="s">
        <v>11</v>
      </c>
      <c r="F1250" s="3" t="s">
        <v>12</v>
      </c>
      <c r="G1250">
        <v>1633.96</v>
      </c>
    </row>
    <row r="1251" spans="1:7" x14ac:dyDescent="0.25">
      <c r="A1251" t="s">
        <v>22</v>
      </c>
      <c r="B1251" s="3" t="s">
        <v>10</v>
      </c>
      <c r="C1251" t="s">
        <v>20</v>
      </c>
      <c r="D1251">
        <v>1</v>
      </c>
      <c r="E1251" s="3" t="s">
        <v>8</v>
      </c>
      <c r="F1251" s="3" t="s">
        <v>14</v>
      </c>
      <c r="G1251">
        <v>37607.53</v>
      </c>
    </row>
    <row r="1252" spans="1:7" x14ac:dyDescent="0.25">
      <c r="A1252" t="s">
        <v>17</v>
      </c>
      <c r="B1252" s="3" t="s">
        <v>10</v>
      </c>
      <c r="C1252" t="s">
        <v>18</v>
      </c>
      <c r="D1252">
        <v>0</v>
      </c>
      <c r="E1252" s="3" t="s">
        <v>8</v>
      </c>
      <c r="F1252" s="3" t="s">
        <v>14</v>
      </c>
      <c r="G1252">
        <v>18648.419999999998</v>
      </c>
    </row>
    <row r="1253" spans="1:7" x14ac:dyDescent="0.25">
      <c r="A1253" t="s">
        <v>17</v>
      </c>
      <c r="B1253" s="3" t="s">
        <v>10</v>
      </c>
      <c r="C1253" t="s">
        <v>23</v>
      </c>
      <c r="D1253">
        <v>0</v>
      </c>
      <c r="E1253" s="3" t="s">
        <v>11</v>
      </c>
      <c r="F1253" s="3" t="s">
        <v>9</v>
      </c>
      <c r="G1253">
        <v>1241.56</v>
      </c>
    </row>
    <row r="1254" spans="1:7" x14ac:dyDescent="0.25">
      <c r="A1254" t="s">
        <v>17</v>
      </c>
      <c r="B1254" s="3" t="s">
        <v>10</v>
      </c>
      <c r="C1254" t="s">
        <v>18</v>
      </c>
      <c r="D1254">
        <v>0</v>
      </c>
      <c r="E1254" s="3" t="s">
        <v>8</v>
      </c>
      <c r="F1254" s="3" t="s">
        <v>9</v>
      </c>
      <c r="G1254">
        <v>16232.85</v>
      </c>
    </row>
    <row r="1255" spans="1:7" x14ac:dyDescent="0.25">
      <c r="A1255" t="s">
        <v>25</v>
      </c>
      <c r="B1255" s="3" t="s">
        <v>7</v>
      </c>
      <c r="C1255" t="s">
        <v>18</v>
      </c>
      <c r="D1255">
        <v>4</v>
      </c>
      <c r="E1255" s="3" t="s">
        <v>11</v>
      </c>
      <c r="F1255" s="3" t="s">
        <v>9</v>
      </c>
      <c r="G1255">
        <v>15828.82</v>
      </c>
    </row>
    <row r="1256" spans="1:7" x14ac:dyDescent="0.25">
      <c r="A1256" t="s">
        <v>22</v>
      </c>
      <c r="B1256" s="3" t="s">
        <v>7</v>
      </c>
      <c r="C1256" t="s">
        <v>18</v>
      </c>
      <c r="D1256">
        <v>0</v>
      </c>
      <c r="E1256" s="3" t="s">
        <v>11</v>
      </c>
      <c r="F1256" s="3" t="s">
        <v>12</v>
      </c>
      <c r="G1256">
        <v>4415.16</v>
      </c>
    </row>
    <row r="1257" spans="1:7" x14ac:dyDescent="0.25">
      <c r="A1257" t="s">
        <v>32</v>
      </c>
      <c r="B1257" s="3" t="s">
        <v>7</v>
      </c>
      <c r="C1257" t="s">
        <v>28</v>
      </c>
      <c r="D1257">
        <v>0</v>
      </c>
      <c r="E1257" s="3" t="s">
        <v>11</v>
      </c>
      <c r="F1257" s="3" t="s">
        <v>9</v>
      </c>
      <c r="G1257">
        <v>6474.01</v>
      </c>
    </row>
    <row r="1258" spans="1:7" x14ac:dyDescent="0.25">
      <c r="A1258" t="s">
        <v>30</v>
      </c>
      <c r="B1258" s="3" t="s">
        <v>7</v>
      </c>
      <c r="C1258" t="s">
        <v>28</v>
      </c>
      <c r="D1258">
        <v>3</v>
      </c>
      <c r="E1258" s="3" t="s">
        <v>11</v>
      </c>
      <c r="F1258" s="3" t="s">
        <v>13</v>
      </c>
      <c r="G1258">
        <v>11436.74</v>
      </c>
    </row>
    <row r="1259" spans="1:7" x14ac:dyDescent="0.25">
      <c r="A1259" t="s">
        <v>30</v>
      </c>
      <c r="B1259" s="3" t="s">
        <v>7</v>
      </c>
      <c r="C1259" t="s">
        <v>18</v>
      </c>
      <c r="D1259">
        <v>1</v>
      </c>
      <c r="E1259" s="3" t="s">
        <v>11</v>
      </c>
      <c r="F1259" s="3" t="s">
        <v>13</v>
      </c>
      <c r="G1259">
        <v>11305.93</v>
      </c>
    </row>
    <row r="1260" spans="1:7" x14ac:dyDescent="0.25">
      <c r="A1260" t="s">
        <v>30</v>
      </c>
      <c r="B1260" s="3" t="s">
        <v>10</v>
      </c>
      <c r="C1260" t="s">
        <v>28</v>
      </c>
      <c r="D1260">
        <v>3</v>
      </c>
      <c r="E1260" s="3" t="s">
        <v>11</v>
      </c>
      <c r="F1260" s="3" t="s">
        <v>13</v>
      </c>
      <c r="G1260">
        <v>30063.58</v>
      </c>
    </row>
    <row r="1261" spans="1:7" x14ac:dyDescent="0.25">
      <c r="A1261" t="s">
        <v>30</v>
      </c>
      <c r="B1261" s="3" t="s">
        <v>7</v>
      </c>
      <c r="C1261" t="s">
        <v>23</v>
      </c>
      <c r="D1261">
        <v>0</v>
      </c>
      <c r="E1261" s="3" t="s">
        <v>11</v>
      </c>
      <c r="F1261" s="3" t="s">
        <v>14</v>
      </c>
      <c r="G1261">
        <v>10197.77</v>
      </c>
    </row>
    <row r="1262" spans="1:7" x14ac:dyDescent="0.25">
      <c r="A1262" t="s">
        <v>22</v>
      </c>
      <c r="B1262" s="3" t="s">
        <v>7</v>
      </c>
      <c r="C1262" t="s">
        <v>23</v>
      </c>
      <c r="D1262">
        <v>0</v>
      </c>
      <c r="E1262" s="3" t="s">
        <v>11</v>
      </c>
      <c r="F1262" s="3" t="s">
        <v>14</v>
      </c>
      <c r="G1262">
        <v>4544.2299999999996</v>
      </c>
    </row>
    <row r="1263" spans="1:7" x14ac:dyDescent="0.25">
      <c r="A1263" t="s">
        <v>21</v>
      </c>
      <c r="B1263" s="3" t="s">
        <v>10</v>
      </c>
      <c r="C1263" t="s">
        <v>28</v>
      </c>
      <c r="D1263">
        <v>1</v>
      </c>
      <c r="E1263" s="3" t="s">
        <v>11</v>
      </c>
      <c r="F1263" s="3" t="s">
        <v>9</v>
      </c>
      <c r="G1263">
        <v>3277.16</v>
      </c>
    </row>
    <row r="1264" spans="1:7" x14ac:dyDescent="0.25">
      <c r="A1264" t="s">
        <v>32</v>
      </c>
      <c r="B1264" s="3" t="s">
        <v>7</v>
      </c>
      <c r="C1264" t="s">
        <v>18</v>
      </c>
      <c r="D1264">
        <v>1</v>
      </c>
      <c r="E1264" s="3" t="s">
        <v>11</v>
      </c>
      <c r="F1264" s="3" t="s">
        <v>12</v>
      </c>
      <c r="G1264">
        <v>6770.19</v>
      </c>
    </row>
    <row r="1265" spans="1:7" x14ac:dyDescent="0.25">
      <c r="A1265" t="s">
        <v>32</v>
      </c>
      <c r="B1265" s="3" t="s">
        <v>7</v>
      </c>
      <c r="C1265" t="s">
        <v>20</v>
      </c>
      <c r="D1265">
        <v>1</v>
      </c>
      <c r="E1265" s="3" t="s">
        <v>11</v>
      </c>
      <c r="F1265" s="3" t="s">
        <v>9</v>
      </c>
      <c r="G1265">
        <v>7337.75</v>
      </c>
    </row>
    <row r="1266" spans="1:7" x14ac:dyDescent="0.25">
      <c r="A1266" t="s">
        <v>24</v>
      </c>
      <c r="B1266" s="3" t="s">
        <v>7</v>
      </c>
      <c r="C1266" t="s">
        <v>20</v>
      </c>
      <c r="D1266">
        <v>2</v>
      </c>
      <c r="E1266" s="3" t="s">
        <v>11</v>
      </c>
      <c r="F1266" s="3" t="s">
        <v>14</v>
      </c>
      <c r="G1266">
        <v>10370.91</v>
      </c>
    </row>
    <row r="1267" spans="1:7" x14ac:dyDescent="0.25">
      <c r="A1267" t="s">
        <v>27</v>
      </c>
      <c r="B1267" s="3" t="s">
        <v>10</v>
      </c>
      <c r="C1267" t="s">
        <v>23</v>
      </c>
      <c r="D1267">
        <v>0</v>
      </c>
      <c r="E1267" s="3" t="s">
        <v>8</v>
      </c>
      <c r="F1267" s="3" t="s">
        <v>12</v>
      </c>
      <c r="G1267">
        <v>26926.51</v>
      </c>
    </row>
    <row r="1268" spans="1:7" x14ac:dyDescent="0.25">
      <c r="A1268" t="s">
        <v>30</v>
      </c>
      <c r="B1268" s="3" t="s">
        <v>7</v>
      </c>
      <c r="C1268" t="s">
        <v>20</v>
      </c>
      <c r="D1268">
        <v>0</v>
      </c>
      <c r="E1268" s="3" t="s">
        <v>11</v>
      </c>
      <c r="F1268" s="3" t="s">
        <v>9</v>
      </c>
      <c r="G1268">
        <v>10704.47</v>
      </c>
    </row>
    <row r="1269" spans="1:7" x14ac:dyDescent="0.25">
      <c r="A1269" t="s">
        <v>17</v>
      </c>
      <c r="B1269" s="3" t="s">
        <v>10</v>
      </c>
      <c r="C1269" t="s">
        <v>20</v>
      </c>
      <c r="D1269">
        <v>0</v>
      </c>
      <c r="E1269" s="3" t="s">
        <v>8</v>
      </c>
      <c r="F1269" s="3" t="s">
        <v>14</v>
      </c>
      <c r="G1269">
        <v>34254.050000000003</v>
      </c>
    </row>
    <row r="1270" spans="1:7" x14ac:dyDescent="0.25">
      <c r="A1270" t="s">
        <v>17</v>
      </c>
      <c r="B1270" s="3" t="s">
        <v>7</v>
      </c>
      <c r="C1270" t="s">
        <v>20</v>
      </c>
      <c r="D1270">
        <v>0</v>
      </c>
      <c r="E1270" s="3" t="s">
        <v>11</v>
      </c>
      <c r="F1270" s="3" t="s">
        <v>9</v>
      </c>
      <c r="G1270">
        <v>1880.49</v>
      </c>
    </row>
    <row r="1271" spans="1:7" x14ac:dyDescent="0.25">
      <c r="A1271" t="s">
        <v>32</v>
      </c>
      <c r="B1271" s="3" t="s">
        <v>10</v>
      </c>
      <c r="C1271" t="s">
        <v>18</v>
      </c>
      <c r="D1271">
        <v>3</v>
      </c>
      <c r="E1271" s="3" t="s">
        <v>11</v>
      </c>
      <c r="F1271" s="3" t="s">
        <v>9</v>
      </c>
      <c r="G1271">
        <v>8615.2999999999993</v>
      </c>
    </row>
    <row r="1272" spans="1:7" x14ac:dyDescent="0.25">
      <c r="A1272" t="s">
        <v>21</v>
      </c>
      <c r="B1272" s="3" t="s">
        <v>10</v>
      </c>
      <c r="C1272" t="s">
        <v>20</v>
      </c>
      <c r="D1272">
        <v>1</v>
      </c>
      <c r="E1272" s="3" t="s">
        <v>11</v>
      </c>
      <c r="F1272" s="3" t="s">
        <v>13</v>
      </c>
      <c r="G1272">
        <v>3292.53</v>
      </c>
    </row>
    <row r="1273" spans="1:7" x14ac:dyDescent="0.25">
      <c r="A1273" t="s">
        <v>17</v>
      </c>
      <c r="B1273" s="3" t="s">
        <v>7</v>
      </c>
      <c r="C1273" t="s">
        <v>20</v>
      </c>
      <c r="D1273">
        <v>0</v>
      </c>
      <c r="E1273" s="3" t="s">
        <v>11</v>
      </c>
      <c r="F1273" s="3" t="s">
        <v>13</v>
      </c>
      <c r="G1273">
        <v>3021.81</v>
      </c>
    </row>
    <row r="1274" spans="1:7" x14ac:dyDescent="0.25">
      <c r="A1274" t="s">
        <v>32</v>
      </c>
      <c r="B1274" s="3" t="s">
        <v>10</v>
      </c>
      <c r="C1274" t="s">
        <v>18</v>
      </c>
      <c r="D1274">
        <v>5</v>
      </c>
      <c r="E1274" s="3" t="s">
        <v>11</v>
      </c>
      <c r="F1274" s="3" t="s">
        <v>12</v>
      </c>
      <c r="G1274">
        <v>14478.33</v>
      </c>
    </row>
    <row r="1275" spans="1:7" x14ac:dyDescent="0.25">
      <c r="A1275" t="s">
        <v>22</v>
      </c>
      <c r="B1275" s="3" t="s">
        <v>10</v>
      </c>
      <c r="C1275" t="s">
        <v>18</v>
      </c>
      <c r="D1275">
        <v>1</v>
      </c>
      <c r="E1275" s="3" t="s">
        <v>11</v>
      </c>
      <c r="F1275" s="3" t="s">
        <v>12</v>
      </c>
      <c r="G1275">
        <v>4747.05</v>
      </c>
    </row>
    <row r="1276" spans="1:7" x14ac:dyDescent="0.25">
      <c r="A1276" t="s">
        <v>21</v>
      </c>
      <c r="B1276" s="3" t="s">
        <v>10</v>
      </c>
      <c r="C1276" t="s">
        <v>18</v>
      </c>
      <c r="D1276">
        <v>0</v>
      </c>
      <c r="E1276" s="3" t="s">
        <v>8</v>
      </c>
      <c r="F1276" s="3" t="s">
        <v>12</v>
      </c>
      <c r="G1276">
        <v>17043.34</v>
      </c>
    </row>
    <row r="1277" spans="1:7" x14ac:dyDescent="0.25">
      <c r="A1277" t="s">
        <v>26</v>
      </c>
      <c r="B1277" s="3" t="s">
        <v>10</v>
      </c>
      <c r="C1277" t="s">
        <v>23</v>
      </c>
      <c r="D1277">
        <v>0</v>
      </c>
      <c r="E1277" s="3" t="s">
        <v>11</v>
      </c>
      <c r="F1277" s="3" t="s">
        <v>9</v>
      </c>
      <c r="G1277">
        <v>10959.33</v>
      </c>
    </row>
    <row r="1278" spans="1:7" x14ac:dyDescent="0.25">
      <c r="A1278" t="s">
        <v>17</v>
      </c>
      <c r="B1278" s="3" t="s">
        <v>7</v>
      </c>
      <c r="C1278" t="s">
        <v>20</v>
      </c>
      <c r="D1278">
        <v>0</v>
      </c>
      <c r="E1278" s="3" t="s">
        <v>11</v>
      </c>
      <c r="F1278" s="3" t="s">
        <v>14</v>
      </c>
      <c r="G1278">
        <v>2741.95</v>
      </c>
    </row>
    <row r="1279" spans="1:7" x14ac:dyDescent="0.25">
      <c r="A1279" t="s">
        <v>22</v>
      </c>
      <c r="B1279" s="3" t="s">
        <v>7</v>
      </c>
      <c r="C1279" t="s">
        <v>18</v>
      </c>
      <c r="D1279">
        <v>0</v>
      </c>
      <c r="E1279" s="3" t="s">
        <v>11</v>
      </c>
      <c r="F1279" s="3" t="s">
        <v>13</v>
      </c>
      <c r="G1279">
        <v>4357.04</v>
      </c>
    </row>
    <row r="1280" spans="1:7" x14ac:dyDescent="0.25">
      <c r="A1280" t="s">
        <v>25</v>
      </c>
      <c r="B1280" s="3" t="s">
        <v>10</v>
      </c>
      <c r="C1280" t="s">
        <v>20</v>
      </c>
      <c r="D1280">
        <v>1</v>
      </c>
      <c r="E1280" s="3" t="s">
        <v>8</v>
      </c>
      <c r="F1280" s="3" t="s">
        <v>14</v>
      </c>
      <c r="G1280">
        <v>22462.04</v>
      </c>
    </row>
    <row r="1281" spans="1:7" x14ac:dyDescent="0.25">
      <c r="A1281" t="s">
        <v>17</v>
      </c>
      <c r="B1281" s="3" t="s">
        <v>7</v>
      </c>
      <c r="C1281" t="s">
        <v>18</v>
      </c>
      <c r="D1281">
        <v>2</v>
      </c>
      <c r="E1281" s="3" t="s">
        <v>11</v>
      </c>
      <c r="F1281" s="3" t="s">
        <v>13</v>
      </c>
      <c r="G1281">
        <v>4189.1099999999997</v>
      </c>
    </row>
    <row r="1282" spans="1:7" x14ac:dyDescent="0.25">
      <c r="A1282" t="s">
        <v>24</v>
      </c>
      <c r="B1282" s="3" t="s">
        <v>7</v>
      </c>
      <c r="C1282" t="s">
        <v>20</v>
      </c>
      <c r="D1282">
        <v>0</v>
      </c>
      <c r="E1282" s="3" t="s">
        <v>11</v>
      </c>
      <c r="F1282" s="3" t="s">
        <v>12</v>
      </c>
      <c r="G1282">
        <v>8283.68</v>
      </c>
    </row>
    <row r="1283" spans="1:7" x14ac:dyDescent="0.25">
      <c r="A1283" t="s">
        <v>24</v>
      </c>
      <c r="B1283" s="3" t="s">
        <v>7</v>
      </c>
      <c r="C1283" t="s">
        <v>18</v>
      </c>
      <c r="D1283">
        <v>2</v>
      </c>
      <c r="E1283" s="3" t="s">
        <v>8</v>
      </c>
      <c r="F1283" s="3" t="s">
        <v>13</v>
      </c>
      <c r="G1283">
        <v>24535.7</v>
      </c>
    </row>
    <row r="1284" spans="1:7" x14ac:dyDescent="0.25">
      <c r="A1284" t="s">
        <v>19</v>
      </c>
      <c r="B1284" s="3" t="s">
        <v>7</v>
      </c>
      <c r="C1284" t="s">
        <v>23</v>
      </c>
      <c r="D1284">
        <v>0</v>
      </c>
      <c r="E1284" s="3" t="s">
        <v>8</v>
      </c>
      <c r="F1284" s="3" t="s">
        <v>14</v>
      </c>
      <c r="G1284">
        <v>14283.46</v>
      </c>
    </row>
    <row r="1285" spans="1:7" x14ac:dyDescent="0.25">
      <c r="A1285" t="s">
        <v>19</v>
      </c>
      <c r="B1285" s="3" t="s">
        <v>10</v>
      </c>
      <c r="C1285" t="s">
        <v>20</v>
      </c>
      <c r="D1285">
        <v>1</v>
      </c>
      <c r="E1285" s="3" t="s">
        <v>11</v>
      </c>
      <c r="F1285" s="3" t="s">
        <v>12</v>
      </c>
      <c r="G1285">
        <v>1720.35</v>
      </c>
    </row>
    <row r="1286" spans="1:7" x14ac:dyDescent="0.25">
      <c r="A1286" t="s">
        <v>27</v>
      </c>
      <c r="B1286" s="3" t="s">
        <v>10</v>
      </c>
      <c r="C1286" t="s">
        <v>28</v>
      </c>
      <c r="D1286">
        <v>1</v>
      </c>
      <c r="E1286" s="3" t="s">
        <v>8</v>
      </c>
      <c r="F1286" s="3" t="s">
        <v>9</v>
      </c>
      <c r="G1286">
        <v>47403.88</v>
      </c>
    </row>
    <row r="1287" spans="1:7" x14ac:dyDescent="0.25">
      <c r="A1287" t="s">
        <v>24</v>
      </c>
      <c r="B1287" s="3" t="s">
        <v>7</v>
      </c>
      <c r="C1287" t="s">
        <v>23</v>
      </c>
      <c r="D1287">
        <v>0</v>
      </c>
      <c r="E1287" s="3" t="s">
        <v>11</v>
      </c>
      <c r="F1287" s="3" t="s">
        <v>14</v>
      </c>
      <c r="G1287">
        <v>8534.67</v>
      </c>
    </row>
    <row r="1288" spans="1:7" x14ac:dyDescent="0.25">
      <c r="A1288" t="s">
        <v>21</v>
      </c>
      <c r="B1288" s="3" t="s">
        <v>7</v>
      </c>
      <c r="C1288" t="s">
        <v>31</v>
      </c>
      <c r="D1288">
        <v>0</v>
      </c>
      <c r="E1288" s="3" t="s">
        <v>11</v>
      </c>
      <c r="F1288" s="3" t="s">
        <v>14</v>
      </c>
      <c r="G1288">
        <v>3732.63</v>
      </c>
    </row>
    <row r="1289" spans="1:7" x14ac:dyDescent="0.25">
      <c r="A1289" t="s">
        <v>25</v>
      </c>
      <c r="B1289" s="3" t="s">
        <v>7</v>
      </c>
      <c r="C1289" t="s">
        <v>18</v>
      </c>
      <c r="D1289">
        <v>1</v>
      </c>
      <c r="E1289" s="3" t="s">
        <v>11</v>
      </c>
      <c r="F1289" s="3" t="s">
        <v>9</v>
      </c>
      <c r="G1289">
        <v>5472.45</v>
      </c>
    </row>
    <row r="1290" spans="1:7" x14ac:dyDescent="0.25">
      <c r="A1290" t="s">
        <v>17</v>
      </c>
      <c r="B1290" s="3" t="s">
        <v>10</v>
      </c>
      <c r="C1290" t="s">
        <v>28</v>
      </c>
      <c r="D1290">
        <v>2</v>
      </c>
      <c r="E1290" s="3" t="s">
        <v>8</v>
      </c>
      <c r="F1290" s="3" t="s">
        <v>9</v>
      </c>
      <c r="G1290">
        <v>38344.57</v>
      </c>
    </row>
    <row r="1291" spans="1:7" x14ac:dyDescent="0.25">
      <c r="A1291" t="s">
        <v>32</v>
      </c>
      <c r="B1291" s="3" t="s">
        <v>10</v>
      </c>
      <c r="C1291" t="s">
        <v>20</v>
      </c>
      <c r="D1291">
        <v>1</v>
      </c>
      <c r="E1291" s="3" t="s">
        <v>11</v>
      </c>
      <c r="F1291" s="3" t="s">
        <v>12</v>
      </c>
      <c r="G1291">
        <v>7147.47</v>
      </c>
    </row>
    <row r="1292" spans="1:7" x14ac:dyDescent="0.25">
      <c r="A1292" t="s">
        <v>25</v>
      </c>
      <c r="B1292" s="3" t="s">
        <v>7</v>
      </c>
      <c r="C1292" t="s">
        <v>23</v>
      </c>
      <c r="D1292">
        <v>2</v>
      </c>
      <c r="E1292" s="3" t="s">
        <v>11</v>
      </c>
      <c r="F1292" s="3" t="s">
        <v>14</v>
      </c>
      <c r="G1292">
        <v>7133.9</v>
      </c>
    </row>
    <row r="1293" spans="1:7" x14ac:dyDescent="0.25">
      <c r="A1293" t="s">
        <v>17</v>
      </c>
      <c r="B1293" s="3" t="s">
        <v>10</v>
      </c>
      <c r="C1293" t="s">
        <v>28</v>
      </c>
      <c r="D1293">
        <v>0</v>
      </c>
      <c r="E1293" s="3" t="s">
        <v>8</v>
      </c>
      <c r="F1293" s="3" t="s">
        <v>9</v>
      </c>
      <c r="G1293">
        <v>34828.65</v>
      </c>
    </row>
    <row r="1294" spans="1:7" x14ac:dyDescent="0.25">
      <c r="A1294" t="s">
        <v>17</v>
      </c>
      <c r="B1294" s="3" t="s">
        <v>10</v>
      </c>
      <c r="C1294" t="s">
        <v>23</v>
      </c>
      <c r="D1294">
        <v>0</v>
      </c>
      <c r="E1294" s="3" t="s">
        <v>11</v>
      </c>
      <c r="F1294" s="3" t="s">
        <v>12</v>
      </c>
      <c r="G1294">
        <v>1515.34</v>
      </c>
    </row>
    <row r="1295" spans="1:7" x14ac:dyDescent="0.25">
      <c r="A1295" t="s">
        <v>24</v>
      </c>
      <c r="B1295" s="3" t="s">
        <v>10</v>
      </c>
      <c r="C1295" t="s">
        <v>18</v>
      </c>
      <c r="D1295">
        <v>3</v>
      </c>
      <c r="E1295" s="3" t="s">
        <v>11</v>
      </c>
      <c r="F1295" s="3" t="s">
        <v>13</v>
      </c>
      <c r="G1295">
        <v>9301.89</v>
      </c>
    </row>
    <row r="1296" spans="1:7" x14ac:dyDescent="0.25">
      <c r="A1296" t="s">
        <v>26</v>
      </c>
      <c r="B1296" s="3" t="s">
        <v>10</v>
      </c>
      <c r="C1296" t="s">
        <v>18</v>
      </c>
      <c r="D1296">
        <v>0</v>
      </c>
      <c r="E1296" s="3" t="s">
        <v>11</v>
      </c>
      <c r="F1296" s="3" t="s">
        <v>14</v>
      </c>
      <c r="G1296">
        <v>11931.13</v>
      </c>
    </row>
    <row r="1297" spans="1:7" x14ac:dyDescent="0.25">
      <c r="A1297" t="s">
        <v>17</v>
      </c>
      <c r="B1297" s="3" t="s">
        <v>10</v>
      </c>
      <c r="C1297" t="s">
        <v>23</v>
      </c>
      <c r="D1297">
        <v>1</v>
      </c>
      <c r="E1297" s="3" t="s">
        <v>11</v>
      </c>
      <c r="F1297" s="3" t="s">
        <v>9</v>
      </c>
      <c r="G1297">
        <v>1964.78</v>
      </c>
    </row>
    <row r="1298" spans="1:7" x14ac:dyDescent="0.25">
      <c r="A1298" t="s">
        <v>19</v>
      </c>
      <c r="B1298" s="3" t="s">
        <v>10</v>
      </c>
      <c r="C1298" t="s">
        <v>18</v>
      </c>
      <c r="D1298">
        <v>0</v>
      </c>
      <c r="E1298" s="3" t="s">
        <v>11</v>
      </c>
      <c r="F1298" s="3" t="s">
        <v>14</v>
      </c>
      <c r="G1298">
        <v>1708.93</v>
      </c>
    </row>
    <row r="1299" spans="1:7" x14ac:dyDescent="0.25">
      <c r="A1299" t="s">
        <v>21</v>
      </c>
      <c r="B1299" s="3" t="s">
        <v>7</v>
      </c>
      <c r="C1299" t="s">
        <v>18</v>
      </c>
      <c r="D1299">
        <v>2</v>
      </c>
      <c r="E1299" s="3" t="s">
        <v>11</v>
      </c>
      <c r="F1299" s="3" t="s">
        <v>12</v>
      </c>
      <c r="G1299">
        <v>4340.4399999999996</v>
      </c>
    </row>
    <row r="1300" spans="1:7" x14ac:dyDescent="0.25">
      <c r="A1300" t="s">
        <v>22</v>
      </c>
      <c r="B1300" s="3" t="s">
        <v>10</v>
      </c>
      <c r="C1300" t="s">
        <v>18</v>
      </c>
      <c r="D1300">
        <v>2</v>
      </c>
      <c r="E1300" s="3" t="s">
        <v>11</v>
      </c>
      <c r="F1300" s="3" t="s">
        <v>13</v>
      </c>
      <c r="G1300">
        <v>5261.47</v>
      </c>
    </row>
    <row r="1301" spans="1:7" x14ac:dyDescent="0.25">
      <c r="A1301" t="s">
        <v>17</v>
      </c>
      <c r="B1301" s="3" t="s">
        <v>7</v>
      </c>
      <c r="C1301" t="s">
        <v>18</v>
      </c>
      <c r="D1301">
        <v>1</v>
      </c>
      <c r="E1301" s="3" t="s">
        <v>11</v>
      </c>
      <c r="F1301" s="3" t="s">
        <v>13</v>
      </c>
      <c r="G1301">
        <v>2710.83</v>
      </c>
    </row>
    <row r="1302" spans="1:7" x14ac:dyDescent="0.25">
      <c r="A1302" t="s">
        <v>32</v>
      </c>
      <c r="B1302" s="3" t="s">
        <v>10</v>
      </c>
      <c r="C1302" t="s">
        <v>20</v>
      </c>
      <c r="D1302">
        <v>0</v>
      </c>
      <c r="E1302" s="3" t="s">
        <v>8</v>
      </c>
      <c r="F1302" s="3" t="s">
        <v>12</v>
      </c>
      <c r="G1302">
        <v>62592.87</v>
      </c>
    </row>
    <row r="1303" spans="1:7" x14ac:dyDescent="0.25">
      <c r="A1303" t="s">
        <v>27</v>
      </c>
      <c r="B1303" s="3" t="s">
        <v>10</v>
      </c>
      <c r="C1303" t="s">
        <v>20</v>
      </c>
      <c r="D1303">
        <v>3</v>
      </c>
      <c r="E1303" s="3" t="s">
        <v>8</v>
      </c>
      <c r="F1303" s="3" t="s">
        <v>13</v>
      </c>
      <c r="G1303">
        <v>46718.16</v>
      </c>
    </row>
    <row r="1304" spans="1:7" x14ac:dyDescent="0.25">
      <c r="A1304" t="s">
        <v>17</v>
      </c>
      <c r="B1304" s="3" t="s">
        <v>7</v>
      </c>
      <c r="C1304" t="s">
        <v>23</v>
      </c>
      <c r="D1304">
        <v>1</v>
      </c>
      <c r="E1304" s="3" t="s">
        <v>11</v>
      </c>
      <c r="F1304" s="3" t="s">
        <v>9</v>
      </c>
      <c r="G1304">
        <v>3208.79</v>
      </c>
    </row>
    <row r="1305" spans="1:7" x14ac:dyDescent="0.25">
      <c r="A1305" t="s">
        <v>32</v>
      </c>
      <c r="B1305" s="3" t="s">
        <v>10</v>
      </c>
      <c r="C1305" t="s">
        <v>18</v>
      </c>
      <c r="D1305">
        <v>0</v>
      </c>
      <c r="E1305" s="3" t="s">
        <v>8</v>
      </c>
      <c r="F1305" s="3" t="s">
        <v>9</v>
      </c>
      <c r="G1305">
        <v>37829.72</v>
      </c>
    </row>
    <row r="1306" spans="1:7" x14ac:dyDescent="0.25">
      <c r="A1306" t="s">
        <v>32</v>
      </c>
      <c r="B1306" s="3" t="s">
        <v>10</v>
      </c>
      <c r="C1306" t="s">
        <v>23</v>
      </c>
      <c r="D1306">
        <v>2</v>
      </c>
      <c r="E1306" s="3" t="s">
        <v>8</v>
      </c>
      <c r="F1306" s="3" t="s">
        <v>14</v>
      </c>
      <c r="G1306">
        <v>21259.38</v>
      </c>
    </row>
    <row r="1307" spans="1:7" x14ac:dyDescent="0.25">
      <c r="A1307" t="s">
        <v>17</v>
      </c>
      <c r="B1307" s="3" t="s">
        <v>7</v>
      </c>
      <c r="C1307" t="s">
        <v>18</v>
      </c>
      <c r="D1307">
        <v>0</v>
      </c>
      <c r="E1307" s="3" t="s">
        <v>11</v>
      </c>
      <c r="F1307" s="3" t="s">
        <v>12</v>
      </c>
      <c r="G1307">
        <v>2464.62</v>
      </c>
    </row>
    <row r="1308" spans="1:7" x14ac:dyDescent="0.25">
      <c r="A1308" t="s">
        <v>21</v>
      </c>
      <c r="B1308" s="3" t="s">
        <v>7</v>
      </c>
      <c r="C1308" t="s">
        <v>23</v>
      </c>
      <c r="D1308">
        <v>0</v>
      </c>
      <c r="E1308" s="3" t="s">
        <v>8</v>
      </c>
      <c r="F1308" s="3" t="s">
        <v>14</v>
      </c>
      <c r="G1308">
        <v>16115.3</v>
      </c>
    </row>
    <row r="1309" spans="1:7" x14ac:dyDescent="0.25">
      <c r="A1309" t="s">
        <v>22</v>
      </c>
      <c r="B1309" s="3" t="s">
        <v>10</v>
      </c>
      <c r="C1309" t="s">
        <v>18</v>
      </c>
      <c r="D1309">
        <v>4</v>
      </c>
      <c r="E1309" s="3" t="s">
        <v>8</v>
      </c>
      <c r="F1309" s="3" t="s">
        <v>13</v>
      </c>
      <c r="G1309">
        <v>21472.48</v>
      </c>
    </row>
    <row r="1310" spans="1:7" x14ac:dyDescent="0.25">
      <c r="A1310" t="s">
        <v>17</v>
      </c>
      <c r="B1310" s="3" t="s">
        <v>7</v>
      </c>
      <c r="C1310" t="s">
        <v>20</v>
      </c>
      <c r="D1310">
        <v>0</v>
      </c>
      <c r="E1310" s="3" t="s">
        <v>8</v>
      </c>
      <c r="F1310" s="3" t="s">
        <v>9</v>
      </c>
      <c r="G1310">
        <v>33900.65</v>
      </c>
    </row>
    <row r="1311" spans="1:7" x14ac:dyDescent="0.25">
      <c r="A1311" t="s">
        <v>32</v>
      </c>
      <c r="B1311" s="3" t="s">
        <v>10</v>
      </c>
      <c r="C1311" t="s">
        <v>20</v>
      </c>
      <c r="D1311">
        <v>2</v>
      </c>
      <c r="E1311" s="3" t="s">
        <v>11</v>
      </c>
      <c r="F1311" s="3" t="s">
        <v>9</v>
      </c>
      <c r="G1311">
        <v>6875.96</v>
      </c>
    </row>
    <row r="1312" spans="1:7" x14ac:dyDescent="0.25">
      <c r="A1312" t="s">
        <v>32</v>
      </c>
      <c r="B1312" s="3" t="s">
        <v>10</v>
      </c>
      <c r="C1312" t="s">
        <v>18</v>
      </c>
      <c r="D1312">
        <v>1</v>
      </c>
      <c r="E1312" s="3" t="s">
        <v>11</v>
      </c>
      <c r="F1312" s="3" t="s">
        <v>13</v>
      </c>
      <c r="G1312">
        <v>6940.91</v>
      </c>
    </row>
    <row r="1313" spans="1:7" x14ac:dyDescent="0.25">
      <c r="A1313" t="s">
        <v>22</v>
      </c>
      <c r="B1313" s="3" t="s">
        <v>7</v>
      </c>
      <c r="C1313" t="s">
        <v>18</v>
      </c>
      <c r="D1313">
        <v>0</v>
      </c>
      <c r="E1313" s="3" t="s">
        <v>11</v>
      </c>
      <c r="F1313" s="3" t="s">
        <v>13</v>
      </c>
      <c r="G1313">
        <v>4571.41</v>
      </c>
    </row>
    <row r="1314" spans="1:7" x14ac:dyDescent="0.25">
      <c r="A1314" t="s">
        <v>22</v>
      </c>
      <c r="B1314" s="3" t="s">
        <v>10</v>
      </c>
      <c r="C1314" t="s">
        <v>29</v>
      </c>
      <c r="D1314">
        <v>1</v>
      </c>
      <c r="E1314" s="3" t="s">
        <v>11</v>
      </c>
      <c r="F1314" s="3" t="s">
        <v>9</v>
      </c>
      <c r="G1314">
        <v>4536.26</v>
      </c>
    </row>
    <row r="1315" spans="1:7" x14ac:dyDescent="0.25">
      <c r="A1315" t="s">
        <v>17</v>
      </c>
      <c r="B1315" s="3" t="s">
        <v>7</v>
      </c>
      <c r="C1315" t="s">
        <v>20</v>
      </c>
      <c r="D1315">
        <v>2</v>
      </c>
      <c r="E1315" s="3" t="s">
        <v>8</v>
      </c>
      <c r="F1315" s="3" t="s">
        <v>9</v>
      </c>
      <c r="G1315">
        <v>36397.58</v>
      </c>
    </row>
    <row r="1316" spans="1:7" x14ac:dyDescent="0.25">
      <c r="A1316" t="s">
        <v>21</v>
      </c>
      <c r="B1316" s="3" t="s">
        <v>7</v>
      </c>
      <c r="C1316" t="s">
        <v>23</v>
      </c>
      <c r="D1316">
        <v>3</v>
      </c>
      <c r="E1316" s="3" t="s">
        <v>8</v>
      </c>
      <c r="F1316" s="3" t="s">
        <v>13</v>
      </c>
      <c r="G1316">
        <v>18765.88</v>
      </c>
    </row>
    <row r="1317" spans="1:7" x14ac:dyDescent="0.25">
      <c r="A1317" t="s">
        <v>19</v>
      </c>
      <c r="B1317" s="3" t="s">
        <v>10</v>
      </c>
      <c r="C1317" t="s">
        <v>18</v>
      </c>
      <c r="D1317">
        <v>1</v>
      </c>
      <c r="E1317" s="3" t="s">
        <v>11</v>
      </c>
      <c r="F1317" s="3" t="s">
        <v>14</v>
      </c>
      <c r="G1317">
        <v>11272.33</v>
      </c>
    </row>
    <row r="1318" spans="1:7" x14ac:dyDescent="0.25">
      <c r="A1318" t="s">
        <v>17</v>
      </c>
      <c r="B1318" s="3" t="s">
        <v>7</v>
      </c>
      <c r="C1318" t="s">
        <v>23</v>
      </c>
      <c r="D1318">
        <v>0</v>
      </c>
      <c r="E1318" s="3" t="s">
        <v>11</v>
      </c>
      <c r="F1318" s="3" t="s">
        <v>9</v>
      </c>
      <c r="G1318">
        <v>1731.68</v>
      </c>
    </row>
    <row r="1319" spans="1:7" x14ac:dyDescent="0.25">
      <c r="A1319" t="s">
        <v>19</v>
      </c>
      <c r="B1319" s="3" t="s">
        <v>10</v>
      </c>
      <c r="C1319" t="s">
        <v>29</v>
      </c>
      <c r="D1319">
        <v>0</v>
      </c>
      <c r="E1319" s="3" t="s">
        <v>11</v>
      </c>
      <c r="F1319" s="3" t="s">
        <v>12</v>
      </c>
      <c r="G1319">
        <v>1163.46</v>
      </c>
    </row>
    <row r="1320" spans="1:7" x14ac:dyDescent="0.25">
      <c r="A1320" t="s">
        <v>22</v>
      </c>
      <c r="B1320" s="3" t="s">
        <v>10</v>
      </c>
      <c r="C1320" t="s">
        <v>28</v>
      </c>
      <c r="D1320">
        <v>4</v>
      </c>
      <c r="E1320" s="3" t="s">
        <v>11</v>
      </c>
      <c r="F1320" s="3" t="s">
        <v>14</v>
      </c>
      <c r="G1320">
        <v>19496.72</v>
      </c>
    </row>
    <row r="1321" spans="1:7" x14ac:dyDescent="0.25">
      <c r="A1321" t="s">
        <v>25</v>
      </c>
      <c r="B1321" s="3" t="s">
        <v>7</v>
      </c>
      <c r="C1321" t="s">
        <v>18</v>
      </c>
      <c r="D1321">
        <v>2</v>
      </c>
      <c r="E1321" s="3" t="s">
        <v>11</v>
      </c>
      <c r="F1321" s="3" t="s">
        <v>13</v>
      </c>
      <c r="G1321">
        <v>7201.7</v>
      </c>
    </row>
    <row r="1322" spans="1:7" x14ac:dyDescent="0.25">
      <c r="A1322" t="s">
        <v>22</v>
      </c>
      <c r="B1322" s="3" t="s">
        <v>10</v>
      </c>
      <c r="C1322" t="s">
        <v>20</v>
      </c>
      <c r="D1322">
        <v>3</v>
      </c>
      <c r="E1322" s="3" t="s">
        <v>11</v>
      </c>
      <c r="F1322" s="3" t="s">
        <v>13</v>
      </c>
      <c r="G1322">
        <v>5425.02</v>
      </c>
    </row>
    <row r="1323" spans="1:7" x14ac:dyDescent="0.25">
      <c r="A1323" t="s">
        <v>27</v>
      </c>
      <c r="B1323" s="3" t="s">
        <v>10</v>
      </c>
      <c r="C1323" t="s">
        <v>18</v>
      </c>
      <c r="D1323">
        <v>0</v>
      </c>
      <c r="E1323" s="3" t="s">
        <v>8</v>
      </c>
      <c r="F1323" s="3" t="s">
        <v>14</v>
      </c>
      <c r="G1323">
        <v>28101.33</v>
      </c>
    </row>
    <row r="1324" spans="1:7" x14ac:dyDescent="0.25">
      <c r="A1324" t="s">
        <v>27</v>
      </c>
      <c r="B1324" s="3" t="s">
        <v>10</v>
      </c>
      <c r="C1324" t="s">
        <v>28</v>
      </c>
      <c r="D1324">
        <v>0</v>
      </c>
      <c r="E1324" s="3" t="s">
        <v>11</v>
      </c>
      <c r="F1324" s="3" t="s">
        <v>12</v>
      </c>
      <c r="G1324">
        <v>12981.35</v>
      </c>
    </row>
    <row r="1325" spans="1:7" x14ac:dyDescent="0.25">
      <c r="A1325" t="s">
        <v>32</v>
      </c>
      <c r="B1325" s="3" t="s">
        <v>7</v>
      </c>
      <c r="C1325" t="s">
        <v>29</v>
      </c>
      <c r="D1325">
        <v>2</v>
      </c>
      <c r="E1325" s="3" t="s">
        <v>8</v>
      </c>
      <c r="F1325" s="3" t="s">
        <v>12</v>
      </c>
      <c r="G1325">
        <v>43896.38</v>
      </c>
    </row>
    <row r="1326" spans="1:7" x14ac:dyDescent="0.25">
      <c r="A1326" t="s">
        <v>22</v>
      </c>
      <c r="B1326" s="3" t="s">
        <v>10</v>
      </c>
      <c r="C1326" t="s">
        <v>18</v>
      </c>
      <c r="D1326">
        <v>1</v>
      </c>
      <c r="E1326" s="3" t="s">
        <v>11</v>
      </c>
      <c r="F1326" s="3" t="s">
        <v>13</v>
      </c>
      <c r="G1326">
        <v>4239.8900000000003</v>
      </c>
    </row>
    <row r="1327" spans="1:7" x14ac:dyDescent="0.25">
      <c r="A1327" t="s">
        <v>27</v>
      </c>
      <c r="B1327" s="3" t="s">
        <v>10</v>
      </c>
      <c r="C1327" t="s">
        <v>20</v>
      </c>
      <c r="D1327">
        <v>0</v>
      </c>
      <c r="E1327" s="3" t="s">
        <v>11</v>
      </c>
      <c r="F1327" s="3" t="s">
        <v>14</v>
      </c>
      <c r="G1327">
        <v>13143.34</v>
      </c>
    </row>
    <row r="1328" spans="1:7" x14ac:dyDescent="0.25">
      <c r="A1328" t="s">
        <v>32</v>
      </c>
      <c r="B1328" s="3" t="s">
        <v>7</v>
      </c>
      <c r="C1328" t="s">
        <v>20</v>
      </c>
      <c r="D1328">
        <v>0</v>
      </c>
      <c r="E1328" s="3" t="s">
        <v>11</v>
      </c>
      <c r="F1328" s="3" t="s">
        <v>14</v>
      </c>
      <c r="G1328">
        <v>7050.02</v>
      </c>
    </row>
    <row r="1329" spans="1:7" x14ac:dyDescent="0.25">
      <c r="A1329" t="s">
        <v>30</v>
      </c>
      <c r="B1329" s="3" t="s">
        <v>10</v>
      </c>
      <c r="C1329" t="s">
        <v>20</v>
      </c>
      <c r="D1329">
        <v>1</v>
      </c>
      <c r="E1329" s="3" t="s">
        <v>11</v>
      </c>
      <c r="F1329" s="3" t="s">
        <v>12</v>
      </c>
      <c r="G1329">
        <v>9377.9</v>
      </c>
    </row>
    <row r="1330" spans="1:7" x14ac:dyDescent="0.25">
      <c r="A1330" t="s">
        <v>17</v>
      </c>
      <c r="B1330" s="3" t="s">
        <v>7</v>
      </c>
      <c r="C1330" t="s">
        <v>23</v>
      </c>
      <c r="D1330">
        <v>2</v>
      </c>
      <c r="E1330" s="3" t="s">
        <v>11</v>
      </c>
      <c r="F1330" s="3" t="s">
        <v>14</v>
      </c>
      <c r="G1330">
        <v>22395.74</v>
      </c>
    </row>
    <row r="1331" spans="1:7" x14ac:dyDescent="0.25">
      <c r="A1331" t="s">
        <v>30</v>
      </c>
      <c r="B1331" s="3" t="s">
        <v>10</v>
      </c>
      <c r="C1331" t="s">
        <v>28</v>
      </c>
      <c r="D1331">
        <v>2</v>
      </c>
      <c r="E1331" s="3" t="s">
        <v>11</v>
      </c>
      <c r="F1331" s="3" t="s">
        <v>9</v>
      </c>
      <c r="G1331">
        <v>10325.209999999999</v>
      </c>
    </row>
    <row r="1332" spans="1:7" x14ac:dyDescent="0.25">
      <c r="A1332" t="s">
        <v>26</v>
      </c>
      <c r="B1332" s="3" t="s">
        <v>7</v>
      </c>
      <c r="C1332" t="s">
        <v>18</v>
      </c>
      <c r="D1332">
        <v>2</v>
      </c>
      <c r="E1332" s="3" t="s">
        <v>11</v>
      </c>
      <c r="F1332" s="3" t="s">
        <v>12</v>
      </c>
      <c r="G1332">
        <v>12629.17</v>
      </c>
    </row>
    <row r="1333" spans="1:7" x14ac:dyDescent="0.25">
      <c r="A1333" t="s">
        <v>17</v>
      </c>
      <c r="B1333" s="3" t="s">
        <v>7</v>
      </c>
      <c r="C1333" t="s">
        <v>20</v>
      </c>
      <c r="D1333">
        <v>0</v>
      </c>
      <c r="E1333" s="3" t="s">
        <v>11</v>
      </c>
      <c r="F1333" s="3" t="s">
        <v>9</v>
      </c>
      <c r="G1333">
        <v>10795.94</v>
      </c>
    </row>
    <row r="1334" spans="1:7" x14ac:dyDescent="0.25">
      <c r="A1334" t="s">
        <v>30</v>
      </c>
      <c r="B1334" s="3" t="s">
        <v>7</v>
      </c>
      <c r="C1334" t="s">
        <v>29</v>
      </c>
      <c r="D1334">
        <v>3</v>
      </c>
      <c r="E1334" s="3" t="s">
        <v>11</v>
      </c>
      <c r="F1334" s="3" t="s">
        <v>9</v>
      </c>
      <c r="G1334">
        <v>11411.68</v>
      </c>
    </row>
    <row r="1335" spans="1:7" x14ac:dyDescent="0.25">
      <c r="A1335" t="s">
        <v>24</v>
      </c>
      <c r="B1335" s="3" t="s">
        <v>10</v>
      </c>
      <c r="C1335" t="s">
        <v>20</v>
      </c>
      <c r="D1335">
        <v>3</v>
      </c>
      <c r="E1335" s="3" t="s">
        <v>11</v>
      </c>
      <c r="F1335" s="3" t="s">
        <v>13</v>
      </c>
      <c r="G1335">
        <v>10600.55</v>
      </c>
    </row>
    <row r="1336" spans="1:7" x14ac:dyDescent="0.25">
      <c r="A1336" t="s">
        <v>19</v>
      </c>
      <c r="B1336" s="3" t="s">
        <v>7</v>
      </c>
      <c r="C1336" t="s">
        <v>20</v>
      </c>
      <c r="D1336">
        <v>0</v>
      </c>
      <c r="E1336" s="3" t="s">
        <v>11</v>
      </c>
      <c r="F1336" s="3" t="s">
        <v>14</v>
      </c>
      <c r="G1336">
        <v>2205.98</v>
      </c>
    </row>
    <row r="1337" spans="1:7" x14ac:dyDescent="0.25">
      <c r="A1337" t="s">
        <v>19</v>
      </c>
      <c r="B1337" s="3" t="s">
        <v>7</v>
      </c>
      <c r="C1337" t="s">
        <v>28</v>
      </c>
      <c r="D1337">
        <v>0</v>
      </c>
      <c r="E1337" s="3" t="s">
        <v>11</v>
      </c>
      <c r="F1337" s="3" t="s">
        <v>12</v>
      </c>
      <c r="G1337">
        <v>1629.83</v>
      </c>
    </row>
    <row r="1338" spans="1:7" x14ac:dyDescent="0.25">
      <c r="A1338" t="s">
        <v>17</v>
      </c>
      <c r="B1338" s="3" t="s">
        <v>7</v>
      </c>
      <c r="C1338" t="s">
        <v>18</v>
      </c>
      <c r="D1338">
        <v>0</v>
      </c>
      <c r="E1338" s="3" t="s">
        <v>11</v>
      </c>
      <c r="F1338" s="3" t="s">
        <v>9</v>
      </c>
      <c r="G1338">
        <v>2007.94</v>
      </c>
    </row>
    <row r="1339" spans="1:7" x14ac:dyDescent="0.25">
      <c r="A1339" t="s">
        <v>27</v>
      </c>
      <c r="B1339" s="3" t="s">
        <v>7</v>
      </c>
      <c r="C1339" t="s">
        <v>18</v>
      </c>
      <c r="D1339">
        <v>0</v>
      </c>
      <c r="E1339" s="3" t="s">
        <v>8</v>
      </c>
      <c r="F1339" s="3" t="s">
        <v>13</v>
      </c>
      <c r="G1339">
        <v>29141.360000000001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0A63-8009-42DF-86CD-5C091344C79E}">
  <dimension ref="B2:P95"/>
  <sheetViews>
    <sheetView workbookViewId="0">
      <selection activeCell="O12" sqref="O12"/>
    </sheetView>
  </sheetViews>
  <sheetFormatPr defaultRowHeight="12.75" x14ac:dyDescent="0.2"/>
  <cols>
    <col min="1" max="1" width="9.140625" style="4"/>
    <col min="2" max="2" width="18" style="4" bestFit="1" customWidth="1"/>
    <col min="3" max="3" width="16.28515625" style="4" bestFit="1" customWidth="1"/>
    <col min="4" max="9" width="12" style="4" bestFit="1" customWidth="1"/>
    <col min="10" max="10" width="16.28515625" style="4" bestFit="1" customWidth="1"/>
    <col min="11" max="11" width="18" style="4" bestFit="1" customWidth="1"/>
    <col min="12" max="12" width="16.28515625" style="4" bestFit="1" customWidth="1"/>
    <col min="13" max="16" width="12" style="4" bestFit="1" customWidth="1"/>
    <col min="17" max="16384" width="9.140625" style="4"/>
  </cols>
  <sheetData>
    <row r="2" spans="2:15" x14ac:dyDescent="0.2">
      <c r="B2" s="8" t="s">
        <v>36</v>
      </c>
    </row>
    <row r="3" spans="2:15" x14ac:dyDescent="0.2">
      <c r="B3" s="8" t="s">
        <v>37</v>
      </c>
      <c r="G3" s="8" t="s">
        <v>38</v>
      </c>
      <c r="K3" s="8" t="s">
        <v>39</v>
      </c>
      <c r="O3" s="8" t="s">
        <v>40</v>
      </c>
    </row>
    <row r="4" spans="2:15" x14ac:dyDescent="0.2">
      <c r="B4" s="5">
        <f>AVERAGE(Table1_2[charges])</f>
        <v>13270.42226457397</v>
      </c>
      <c r="G4" s="4" t="str" cm="1">
        <f t="array" ref="G4">INDEX(Table1_2[Age Bracket],_xlfn.MODE.SNGL(MATCH(Table1_2[Age Bracket],Table1_2[Age Bracket],0)))</f>
        <v>19 - 25</v>
      </c>
      <c r="K4" s="4" t="str" cm="1">
        <f t="array" ref="K4">INDEX(Table1_2[BMI Bracket],_xlfn.MODE.SNGL(MATCH(Table1_2[BMI Bracket],Table1_2[BMI Bracket],0)))</f>
        <v>Obese I</v>
      </c>
      <c r="O4" s="9">
        <f>AVERAGE(Table1_2[children])</f>
        <v>1.0949177877428999</v>
      </c>
    </row>
    <row r="7" spans="2:15" x14ac:dyDescent="0.2">
      <c r="B7" s="8" t="s">
        <v>34</v>
      </c>
      <c r="G7" s="8" t="s">
        <v>33</v>
      </c>
      <c r="K7" s="8" t="s">
        <v>35</v>
      </c>
    </row>
    <row r="9" spans="2:15" ht="15" x14ac:dyDescent="0.25">
      <c r="B9" s="6" t="s">
        <v>45</v>
      </c>
      <c r="C9" t="s">
        <v>48</v>
      </c>
      <c r="D9"/>
      <c r="G9" s="6" t="s">
        <v>45</v>
      </c>
      <c r="H9" t="s">
        <v>48</v>
      </c>
      <c r="I9"/>
      <c r="K9" s="6" t="s">
        <v>45</v>
      </c>
      <c r="L9" t="s">
        <v>48</v>
      </c>
      <c r="M9"/>
    </row>
    <row r="10" spans="2:15" ht="15" x14ac:dyDescent="0.25">
      <c r="B10" s="7" t="s">
        <v>19</v>
      </c>
      <c r="C10" s="3">
        <v>7086.2179710144956</v>
      </c>
      <c r="D10"/>
      <c r="G10" s="7" t="s">
        <v>31</v>
      </c>
      <c r="H10" s="3">
        <v>8852.2010000000009</v>
      </c>
      <c r="I10"/>
      <c r="K10" s="7" t="s">
        <v>11</v>
      </c>
      <c r="L10" s="3">
        <v>8434.2682894736845</v>
      </c>
      <c r="M10"/>
    </row>
    <row r="11" spans="2:15" ht="15" x14ac:dyDescent="0.25">
      <c r="B11" s="7" t="s">
        <v>17</v>
      </c>
      <c r="C11" s="3">
        <v>9669.5266244725753</v>
      </c>
      <c r="D11"/>
      <c r="G11" s="7" t="s">
        <v>23</v>
      </c>
      <c r="H11" s="3">
        <v>10379.499684684683</v>
      </c>
      <c r="I11"/>
      <c r="K11" s="7" t="s">
        <v>8</v>
      </c>
      <c r="L11" s="3">
        <v>32050.231861313885</v>
      </c>
      <c r="M11"/>
    </row>
    <row r="12" spans="2:15" ht="15" x14ac:dyDescent="0.25">
      <c r="B12" s="7" t="s">
        <v>21</v>
      </c>
      <c r="C12" s="3">
        <v>10086.132753623182</v>
      </c>
      <c r="D12"/>
      <c r="G12" s="7" t="s">
        <v>18</v>
      </c>
      <c r="H12" s="3">
        <v>11030.331538461549</v>
      </c>
      <c r="I12"/>
      <c r="K12" s="7" t="s">
        <v>46</v>
      </c>
      <c r="L12" s="3">
        <v>13270.42226457399</v>
      </c>
      <c r="M12"/>
    </row>
    <row r="13" spans="2:15" ht="15" x14ac:dyDescent="0.25">
      <c r="B13" s="7" t="s">
        <v>22</v>
      </c>
      <c r="C13" s="3">
        <v>10929.364538461541</v>
      </c>
      <c r="D13"/>
      <c r="G13" s="7" t="s">
        <v>20</v>
      </c>
      <c r="H13" s="3">
        <v>14119.594135338361</v>
      </c>
      <c r="I13"/>
      <c r="K13"/>
      <c r="L13"/>
      <c r="M13"/>
    </row>
    <row r="14" spans="2:15" ht="15" x14ac:dyDescent="0.25">
      <c r="B14" s="7" t="s">
        <v>25</v>
      </c>
      <c r="C14" s="3">
        <v>12366.022834645672</v>
      </c>
      <c r="D14"/>
      <c r="G14" s="7" t="s">
        <v>29</v>
      </c>
      <c r="H14" s="3">
        <v>17002.77585106383</v>
      </c>
      <c r="I14"/>
      <c r="K14"/>
      <c r="L14"/>
      <c r="M14"/>
    </row>
    <row r="15" spans="2:15" ht="15" x14ac:dyDescent="0.25">
      <c r="B15" s="7" t="s">
        <v>32</v>
      </c>
      <c r="C15" s="3">
        <v>14538.65116788321</v>
      </c>
      <c r="D15"/>
      <c r="G15" s="7" t="s">
        <v>28</v>
      </c>
      <c r="H15" s="3">
        <v>17186.363097345133</v>
      </c>
      <c r="I15"/>
      <c r="K15"/>
      <c r="L15"/>
      <c r="M15"/>
    </row>
    <row r="16" spans="2:15" ht="15" x14ac:dyDescent="0.25">
      <c r="B16" s="7" t="s">
        <v>24</v>
      </c>
      <c r="C16" s="3">
        <v>15013.603263888883</v>
      </c>
      <c r="D16"/>
      <c r="G16" s="7" t="s">
        <v>46</v>
      </c>
      <c r="H16" s="3">
        <v>13270.422264574001</v>
      </c>
      <c r="I16"/>
      <c r="K16"/>
      <c r="L16"/>
      <c r="M16"/>
    </row>
    <row r="17" spans="2:14" ht="15" x14ac:dyDescent="0.25">
      <c r="B17" s="7" t="s">
        <v>30</v>
      </c>
      <c r="C17" s="3">
        <v>16988.005214285713</v>
      </c>
      <c r="D17"/>
      <c r="G17"/>
      <c r="H17"/>
      <c r="I17"/>
      <c r="K17"/>
      <c r="L17"/>
      <c r="M17"/>
    </row>
    <row r="18" spans="2:14" ht="15" x14ac:dyDescent="0.25">
      <c r="B18" s="7" t="s">
        <v>26</v>
      </c>
      <c r="C18" s="3">
        <v>17145.494880000002</v>
      </c>
      <c r="D18"/>
      <c r="G18"/>
      <c r="H18"/>
      <c r="I18"/>
      <c r="K18"/>
      <c r="L18"/>
      <c r="M18"/>
    </row>
    <row r="19" spans="2:14" ht="15" x14ac:dyDescent="0.25">
      <c r="B19" s="7" t="s">
        <v>27</v>
      </c>
      <c r="C19" s="3">
        <v>21063.163296703307</v>
      </c>
      <c r="D19"/>
      <c r="G19"/>
      <c r="H19"/>
      <c r="I19"/>
      <c r="K19"/>
      <c r="L19"/>
      <c r="M19"/>
    </row>
    <row r="20" spans="2:14" ht="15" x14ac:dyDescent="0.25">
      <c r="B20" s="7" t="s">
        <v>46</v>
      </c>
      <c r="C20" s="3">
        <v>13270.422264574006</v>
      </c>
      <c r="D20"/>
      <c r="G20"/>
      <c r="H20"/>
      <c r="I20"/>
      <c r="K20"/>
      <c r="L20"/>
      <c r="M20"/>
    </row>
    <row r="21" spans="2:14" ht="15" x14ac:dyDescent="0.25">
      <c r="B21"/>
      <c r="C21"/>
      <c r="D21"/>
      <c r="G21"/>
      <c r="H21"/>
      <c r="I21"/>
      <c r="K21"/>
      <c r="L21"/>
      <c r="M21"/>
    </row>
    <row r="22" spans="2:14" ht="15" x14ac:dyDescent="0.25">
      <c r="B22"/>
      <c r="C22"/>
      <c r="D22"/>
      <c r="G22"/>
      <c r="H22"/>
      <c r="I22"/>
      <c r="K22"/>
      <c r="L22"/>
      <c r="M22"/>
    </row>
    <row r="26" spans="2:14" x14ac:dyDescent="0.2">
      <c r="B26" s="8" t="s">
        <v>41</v>
      </c>
    </row>
    <row r="27" spans="2:14" x14ac:dyDescent="0.2">
      <c r="K27" s="8" t="s">
        <v>43</v>
      </c>
    </row>
    <row r="28" spans="2:14" ht="15" x14ac:dyDescent="0.25">
      <c r="B28" s="6" t="s">
        <v>48</v>
      </c>
      <c r="C28" s="6" t="s">
        <v>47</v>
      </c>
      <c r="D28"/>
      <c r="E28"/>
    </row>
    <row r="29" spans="2:14" ht="15" x14ac:dyDescent="0.25">
      <c r="B29" s="6" t="s">
        <v>45</v>
      </c>
      <c r="C29" t="s">
        <v>7</v>
      </c>
      <c r="D29" t="s">
        <v>10</v>
      </c>
      <c r="E29" t="s">
        <v>46</v>
      </c>
      <c r="K29" s="6" t="s">
        <v>48</v>
      </c>
      <c r="L29" s="6" t="s">
        <v>47</v>
      </c>
      <c r="M29"/>
      <c r="N29"/>
    </row>
    <row r="30" spans="2:14" ht="15" x14ac:dyDescent="0.25">
      <c r="B30" s="7" t="s">
        <v>19</v>
      </c>
      <c r="C30" s="3">
        <v>6522.2578787878792</v>
      </c>
      <c r="D30" s="3">
        <v>7603.1813888888883</v>
      </c>
      <c r="E30" s="3">
        <v>7086.2179710144937</v>
      </c>
      <c r="K30" s="6" t="s">
        <v>45</v>
      </c>
      <c r="L30" t="s">
        <v>11</v>
      </c>
      <c r="M30" t="s">
        <v>8</v>
      </c>
      <c r="N30" t="s">
        <v>46</v>
      </c>
    </row>
    <row r="31" spans="2:14" ht="15" x14ac:dyDescent="0.25">
      <c r="B31" s="7" t="s">
        <v>17</v>
      </c>
      <c r="C31" s="3">
        <v>9167.571578947367</v>
      </c>
      <c r="D31" s="3">
        <v>10134.753252032524</v>
      </c>
      <c r="E31" s="3">
        <v>9669.5266244725717</v>
      </c>
      <c r="K31" s="7" t="s">
        <v>19</v>
      </c>
      <c r="L31" s="3">
        <v>3215.1626315789463</v>
      </c>
      <c r="M31" s="3">
        <v>25473.730833333335</v>
      </c>
      <c r="N31" s="3">
        <v>7086.2179710144919</v>
      </c>
    </row>
    <row r="32" spans="2:14" ht="15" x14ac:dyDescent="0.25">
      <c r="B32" s="7" t="s">
        <v>21</v>
      </c>
      <c r="C32" s="3">
        <v>8735.0155223880574</v>
      </c>
      <c r="D32" s="3">
        <v>11361.130704225356</v>
      </c>
      <c r="E32" s="3">
        <v>10086.132753623187</v>
      </c>
      <c r="K32" s="7" t="s">
        <v>17</v>
      </c>
      <c r="L32" s="3">
        <v>4248.2683695652149</v>
      </c>
      <c r="M32" s="3">
        <v>28490.49867924528</v>
      </c>
      <c r="N32" s="3">
        <v>9669.5266244725717</v>
      </c>
    </row>
    <row r="33" spans="2:16" ht="15" x14ac:dyDescent="0.25">
      <c r="B33" s="7" t="s">
        <v>22</v>
      </c>
      <c r="C33" s="3">
        <v>10465.90265625</v>
      </c>
      <c r="D33" s="3">
        <v>11378.782121212122</v>
      </c>
      <c r="E33" s="3">
        <v>10929.364538461534</v>
      </c>
      <c r="K33" s="7" t="s">
        <v>21</v>
      </c>
      <c r="L33" s="3">
        <v>5485.1854629629624</v>
      </c>
      <c r="M33" s="3">
        <v>26649.543000000001</v>
      </c>
      <c r="N33" s="3">
        <v>10086.132753623186</v>
      </c>
    </row>
    <row r="34" spans="2:16" ht="15" x14ac:dyDescent="0.25">
      <c r="B34" s="7" t="s">
        <v>25</v>
      </c>
      <c r="C34" s="3">
        <v>11290.400793650795</v>
      </c>
      <c r="D34" s="3">
        <v>13424.838281249997</v>
      </c>
      <c r="E34" s="3">
        <v>12366.022834645672</v>
      </c>
      <c r="K34" s="7" t="s">
        <v>22</v>
      </c>
      <c r="L34" s="3">
        <v>6120.4907692307697</v>
      </c>
      <c r="M34" s="3">
        <v>30164.859615384616</v>
      </c>
      <c r="N34" s="3">
        <v>10929.364538461537</v>
      </c>
    </row>
    <row r="35" spans="2:16" ht="15" x14ac:dyDescent="0.25">
      <c r="B35" s="7" t="s">
        <v>32</v>
      </c>
      <c r="C35" s="3">
        <v>13767.813382352944</v>
      </c>
      <c r="D35" s="3">
        <v>15298.317391304347</v>
      </c>
      <c r="E35" s="3">
        <v>14538.65116788321</v>
      </c>
      <c r="K35" s="7" t="s">
        <v>25</v>
      </c>
      <c r="L35" s="3">
        <v>7167.3873737373715</v>
      </c>
      <c r="M35" s="3">
        <v>30746.912500000002</v>
      </c>
      <c r="N35" s="3">
        <v>12366.022834645666</v>
      </c>
    </row>
    <row r="36" spans="2:16" ht="15" x14ac:dyDescent="0.25">
      <c r="B36" s="7" t="s">
        <v>24</v>
      </c>
      <c r="C36" s="3">
        <v>13842.450972222225</v>
      </c>
      <c r="D36" s="3">
        <v>16184.755555555552</v>
      </c>
      <c r="E36" s="3">
        <v>15013.603263888886</v>
      </c>
      <c r="K36" s="7" t="s">
        <v>32</v>
      </c>
      <c r="L36" s="3">
        <v>8446.8443269230793</v>
      </c>
      <c r="M36" s="3">
        <v>33737.072727272724</v>
      </c>
      <c r="N36" s="3">
        <v>14538.651167883214</v>
      </c>
    </row>
    <row r="37" spans="2:16" ht="15" x14ac:dyDescent="0.25">
      <c r="B37" s="7" t="s">
        <v>30</v>
      </c>
      <c r="C37" s="3">
        <v>16602.618309859154</v>
      </c>
      <c r="D37" s="3">
        <v>17384.562753623191</v>
      </c>
      <c r="E37" s="3">
        <v>16988.005214285717</v>
      </c>
      <c r="K37" s="7" t="s">
        <v>24</v>
      </c>
      <c r="L37" s="3">
        <v>10675.693017241372</v>
      </c>
      <c r="M37" s="3">
        <v>32984.945714285714</v>
      </c>
      <c r="N37" s="3">
        <v>15013.603263888883</v>
      </c>
    </row>
    <row r="38" spans="2:16" ht="15" x14ac:dyDescent="0.25">
      <c r="B38" s="7" t="s">
        <v>26</v>
      </c>
      <c r="C38" s="3">
        <v>15738.334444444443</v>
      </c>
      <c r="D38" s="3">
        <v>18575.3514516129</v>
      </c>
      <c r="E38" s="3">
        <v>17145.494879999998</v>
      </c>
      <c r="K38" s="7" t="s">
        <v>30</v>
      </c>
      <c r="L38" s="3">
        <v>12709.88206896552</v>
      </c>
      <c r="M38" s="3">
        <v>37665.600416666668</v>
      </c>
      <c r="N38" s="3">
        <v>16988.005214285717</v>
      </c>
    </row>
    <row r="39" spans="2:16" ht="15" x14ac:dyDescent="0.25">
      <c r="B39" s="7" t="s">
        <v>27</v>
      </c>
      <c r="C39" s="3">
        <v>21089.268510638296</v>
      </c>
      <c r="D39" s="3">
        <v>21035.278181818176</v>
      </c>
      <c r="E39" s="3">
        <v>21063.163296703307</v>
      </c>
      <c r="K39" s="7" t="s">
        <v>26</v>
      </c>
      <c r="L39" s="3">
        <v>13262.790000000003</v>
      </c>
      <c r="M39" s="3">
        <v>40226.018333333333</v>
      </c>
      <c r="N39" s="3">
        <v>17145.494880000002</v>
      </c>
    </row>
    <row r="40" spans="2:16" ht="15" x14ac:dyDescent="0.25">
      <c r="B40" s="7" t="s">
        <v>46</v>
      </c>
      <c r="C40" s="3">
        <v>12569.578700906346</v>
      </c>
      <c r="D40" s="3">
        <v>13956.751316568038</v>
      </c>
      <c r="E40" s="3">
        <v>13270.42226457399</v>
      </c>
      <c r="K40" s="7" t="s">
        <v>27</v>
      </c>
      <c r="L40" s="3">
        <v>15366.613623188407</v>
      </c>
      <c r="M40" s="3">
        <v>38929.614545454548</v>
      </c>
      <c r="N40" s="3">
        <v>21063.163296703297</v>
      </c>
    </row>
    <row r="41" spans="2:16" ht="15" x14ac:dyDescent="0.25">
      <c r="B41"/>
      <c r="C41"/>
      <c r="D41"/>
      <c r="K41" s="7" t="s">
        <v>46</v>
      </c>
      <c r="L41" s="3">
        <v>8434.2682894736827</v>
      </c>
      <c r="M41" s="3">
        <v>32050.231861313874</v>
      </c>
      <c r="N41" s="3">
        <v>13270.42226457399</v>
      </c>
    </row>
    <row r="42" spans="2:16" ht="15" x14ac:dyDescent="0.25">
      <c r="B42"/>
      <c r="C42"/>
      <c r="D42"/>
      <c r="K42"/>
      <c r="L42"/>
      <c r="M42"/>
    </row>
    <row r="43" spans="2:16" ht="15" x14ac:dyDescent="0.25">
      <c r="B43"/>
      <c r="C43"/>
      <c r="D43"/>
      <c r="K43"/>
      <c r="L43"/>
      <c r="M43"/>
    </row>
    <row r="44" spans="2:16" ht="15" x14ac:dyDescent="0.25">
      <c r="B44" s="8" t="s">
        <v>42</v>
      </c>
      <c r="C44"/>
      <c r="D44"/>
      <c r="K44" s="8" t="s">
        <v>44</v>
      </c>
      <c r="L44"/>
      <c r="M44"/>
    </row>
    <row r="45" spans="2:16" ht="15" x14ac:dyDescent="0.25">
      <c r="B45"/>
      <c r="C45"/>
      <c r="D45"/>
      <c r="K45"/>
      <c r="L45"/>
      <c r="M45"/>
    </row>
    <row r="46" spans="2:16" ht="15" x14ac:dyDescent="0.25">
      <c r="B46" s="6" t="s">
        <v>48</v>
      </c>
      <c r="C46" s="6" t="s">
        <v>47</v>
      </c>
      <c r="D46"/>
      <c r="E46"/>
      <c r="F46"/>
      <c r="G46"/>
      <c r="H46"/>
      <c r="I46"/>
      <c r="K46" s="6" t="s">
        <v>48</v>
      </c>
      <c r="L46" s="6" t="s">
        <v>47</v>
      </c>
      <c r="M46"/>
      <c r="N46"/>
      <c r="O46"/>
      <c r="P46"/>
    </row>
    <row r="47" spans="2:16" ht="15" x14ac:dyDescent="0.25">
      <c r="B47" s="6" t="s">
        <v>45</v>
      </c>
      <c r="C47">
        <v>0</v>
      </c>
      <c r="D47">
        <v>1</v>
      </c>
      <c r="E47">
        <v>2</v>
      </c>
      <c r="F47">
        <v>3</v>
      </c>
      <c r="G47">
        <v>4</v>
      </c>
      <c r="H47">
        <v>5</v>
      </c>
      <c r="I47" t="s">
        <v>46</v>
      </c>
      <c r="K47" s="6" t="s">
        <v>45</v>
      </c>
      <c r="L47" t="s">
        <v>14</v>
      </c>
      <c r="M47" t="s">
        <v>13</v>
      </c>
      <c r="N47" t="s">
        <v>12</v>
      </c>
      <c r="O47" t="s">
        <v>9</v>
      </c>
      <c r="P47" t="s">
        <v>46</v>
      </c>
    </row>
    <row r="48" spans="2:16" ht="15" x14ac:dyDescent="0.25">
      <c r="B48" s="7" t="s">
        <v>19</v>
      </c>
      <c r="C48" s="3">
        <v>6935.1325490196105</v>
      </c>
      <c r="D48" s="3">
        <v>4608.3855555555556</v>
      </c>
      <c r="E48" s="3">
        <v>11252.550000000001</v>
      </c>
      <c r="F48" s="3">
        <v>10852.66</v>
      </c>
      <c r="G48" s="3">
        <v>4561.1899999999996</v>
      </c>
      <c r="H48" s="3"/>
      <c r="I48" s="3">
        <v>7086.2179710144937</v>
      </c>
      <c r="K48" s="7" t="s">
        <v>19</v>
      </c>
      <c r="L48" s="3">
        <v>7558.7331249999988</v>
      </c>
      <c r="M48" s="3"/>
      <c r="N48" s="3">
        <v>6677.5562162162159</v>
      </c>
      <c r="O48" s="3"/>
      <c r="P48" s="3">
        <v>7086.2179710144928</v>
      </c>
    </row>
    <row r="49" spans="2:16" ht="15" x14ac:dyDescent="0.25">
      <c r="B49" s="7" t="s">
        <v>17</v>
      </c>
      <c r="C49" s="3">
        <v>8452.638389261745</v>
      </c>
      <c r="D49" s="3">
        <v>8681.8215384615396</v>
      </c>
      <c r="E49" s="3">
        <v>17489.689599999998</v>
      </c>
      <c r="F49" s="3">
        <v>12027.164999999999</v>
      </c>
      <c r="G49" s="3">
        <v>11113.294999999998</v>
      </c>
      <c r="H49" s="3">
        <v>4878.3975</v>
      </c>
      <c r="I49" s="3">
        <v>9669.5266244725735</v>
      </c>
      <c r="K49" s="7" t="s">
        <v>17</v>
      </c>
      <c r="L49" s="3">
        <v>10444.289024390244</v>
      </c>
      <c r="M49" s="3">
        <v>8245.0947368421039</v>
      </c>
      <c r="N49" s="3">
        <v>13385.905106382974</v>
      </c>
      <c r="O49" s="3">
        <v>8324.6194520547942</v>
      </c>
      <c r="P49" s="3">
        <v>9669.5266244725772</v>
      </c>
    </row>
    <row r="50" spans="2:16" ht="15" x14ac:dyDescent="0.25">
      <c r="B50" s="7" t="s">
        <v>21</v>
      </c>
      <c r="C50" s="3">
        <v>10091.794791666667</v>
      </c>
      <c r="D50" s="3">
        <v>9212.842702702701</v>
      </c>
      <c r="E50" s="3">
        <v>10291.144516129034</v>
      </c>
      <c r="F50" s="3">
        <v>11135.97947368421</v>
      </c>
      <c r="G50" s="3">
        <v>15190.264999999999</v>
      </c>
      <c r="H50" s="3">
        <v>5615.37</v>
      </c>
      <c r="I50" s="3">
        <v>10086.132753623184</v>
      </c>
      <c r="K50" s="7" t="s">
        <v>21</v>
      </c>
      <c r="L50" s="3">
        <v>8304.0202941176485</v>
      </c>
      <c r="M50" s="3">
        <v>8082.0962500000014</v>
      </c>
      <c r="N50" s="3">
        <v>11405.548974358973</v>
      </c>
      <c r="O50" s="3">
        <v>12306.246666666668</v>
      </c>
      <c r="P50" s="3">
        <v>10086.132753623189</v>
      </c>
    </row>
    <row r="51" spans="2:16" ht="15" x14ac:dyDescent="0.25">
      <c r="B51" s="7" t="s">
        <v>22</v>
      </c>
      <c r="C51" s="3">
        <v>10407.901562499997</v>
      </c>
      <c r="D51" s="3">
        <v>11326.865869565218</v>
      </c>
      <c r="E51" s="3">
        <v>10597.853214285717</v>
      </c>
      <c r="F51" s="3">
        <v>11268.942222222222</v>
      </c>
      <c r="G51" s="3">
        <v>15676.123333333335</v>
      </c>
      <c r="H51" s="3">
        <v>6706.4966666666669</v>
      </c>
      <c r="I51" s="3">
        <v>10929.364538461534</v>
      </c>
      <c r="K51" s="7" t="s">
        <v>22</v>
      </c>
      <c r="L51" s="3">
        <v>13823.081666666665</v>
      </c>
      <c r="M51" s="3">
        <v>12789.542187499999</v>
      </c>
      <c r="N51" s="3">
        <v>7915.3802857142855</v>
      </c>
      <c r="O51" s="3">
        <v>9691.5539393939398</v>
      </c>
      <c r="P51" s="3">
        <v>10929.364538461539</v>
      </c>
    </row>
    <row r="52" spans="2:16" ht="15" x14ac:dyDescent="0.25">
      <c r="B52" s="7" t="s">
        <v>25</v>
      </c>
      <c r="C52" s="3">
        <v>11086.08517241379</v>
      </c>
      <c r="D52" s="3">
        <v>13016.340285714285</v>
      </c>
      <c r="E52" s="3">
        <v>13068.533333333336</v>
      </c>
      <c r="F52" s="3">
        <v>11336.040952380954</v>
      </c>
      <c r="G52" s="3">
        <v>15785.973999999998</v>
      </c>
      <c r="H52" s="3">
        <v>11292.047500000001</v>
      </c>
      <c r="I52" s="3">
        <v>12366.022834645673</v>
      </c>
      <c r="K52" s="7" t="s">
        <v>25</v>
      </c>
      <c r="L52" s="3">
        <v>13620.437187499998</v>
      </c>
      <c r="M52" s="3">
        <v>8244.6024999999991</v>
      </c>
      <c r="N52" s="3">
        <v>13116.183235294115</v>
      </c>
      <c r="O52" s="3">
        <v>14650.117241379312</v>
      </c>
      <c r="P52" s="3">
        <v>12366.022834645668</v>
      </c>
    </row>
    <row r="53" spans="2:16" ht="15" x14ac:dyDescent="0.25">
      <c r="B53" s="7" t="s">
        <v>32</v>
      </c>
      <c r="C53" s="3">
        <v>15668.945277777782</v>
      </c>
      <c r="D53" s="3">
        <v>12619.716249999999</v>
      </c>
      <c r="E53" s="3">
        <v>14705.338636363635</v>
      </c>
      <c r="F53" s="3">
        <v>17314.287857142856</v>
      </c>
      <c r="G53" s="3"/>
      <c r="H53" s="3">
        <v>11163.199999999999</v>
      </c>
      <c r="I53" s="3">
        <v>14538.651167883216</v>
      </c>
      <c r="K53" s="7" t="s">
        <v>32</v>
      </c>
      <c r="L53" s="3">
        <v>15275.71875</v>
      </c>
      <c r="M53" s="3">
        <v>13895.17375</v>
      </c>
      <c r="N53" s="3">
        <v>18388.747179487178</v>
      </c>
      <c r="O53" s="3">
        <v>10034.279705882354</v>
      </c>
      <c r="P53" s="3">
        <v>14538.651167883212</v>
      </c>
    </row>
    <row r="54" spans="2:16" ht="15" x14ac:dyDescent="0.25">
      <c r="B54" s="7" t="s">
        <v>24</v>
      </c>
      <c r="C54" s="3">
        <v>15513.822571428573</v>
      </c>
      <c r="D54" s="3">
        <v>14175.143461538462</v>
      </c>
      <c r="E54" s="3">
        <v>16061.05857142857</v>
      </c>
      <c r="F54" s="3">
        <v>16430.417619047621</v>
      </c>
      <c r="G54" s="3">
        <v>10911.556666666665</v>
      </c>
      <c r="H54" s="3">
        <v>10824.934999999999</v>
      </c>
      <c r="I54" s="3">
        <v>15013.60326388889</v>
      </c>
      <c r="K54" s="7" t="s">
        <v>24</v>
      </c>
      <c r="L54" s="3">
        <v>14564.781944444445</v>
      </c>
      <c r="M54" s="3">
        <v>14332.519411764704</v>
      </c>
      <c r="N54" s="3">
        <v>15783.496923076929</v>
      </c>
      <c r="O54" s="3">
        <v>15278.990857142855</v>
      </c>
      <c r="P54" s="3">
        <v>15013.603263888883</v>
      </c>
    </row>
    <row r="55" spans="2:16" ht="15" x14ac:dyDescent="0.25">
      <c r="B55" s="7" t="s">
        <v>30</v>
      </c>
      <c r="C55" s="3">
        <v>15819.410392156866</v>
      </c>
      <c r="D55" s="3">
        <v>13518.522571428572</v>
      </c>
      <c r="E55" s="3">
        <v>20167.944800000001</v>
      </c>
      <c r="F55" s="3">
        <v>21113.750370370366</v>
      </c>
      <c r="G55" s="3">
        <v>11520.1</v>
      </c>
      <c r="H55" s="3">
        <v>12592.53</v>
      </c>
      <c r="I55" s="3">
        <v>16988.005214285706</v>
      </c>
      <c r="K55" s="7" t="s">
        <v>30</v>
      </c>
      <c r="L55" s="3">
        <v>18015.574411764705</v>
      </c>
      <c r="M55" s="3">
        <v>16693.664117647058</v>
      </c>
      <c r="N55" s="3">
        <v>21162.242162162165</v>
      </c>
      <c r="O55" s="3">
        <v>11862.961714285715</v>
      </c>
      <c r="P55" s="3">
        <v>16988.005214285713</v>
      </c>
    </row>
    <row r="56" spans="2:16" ht="15" x14ac:dyDescent="0.25">
      <c r="B56" s="7" t="s">
        <v>26</v>
      </c>
      <c r="C56" s="3">
        <v>15903.905975609763</v>
      </c>
      <c r="D56" s="3">
        <v>19680.978999999999</v>
      </c>
      <c r="E56" s="3">
        <v>21008.304545454546</v>
      </c>
      <c r="F56" s="3">
        <v>18701.207999999999</v>
      </c>
      <c r="G56" s="3">
        <v>13671.779999999999</v>
      </c>
      <c r="H56" s="3"/>
      <c r="I56" s="3">
        <v>17145.494880000002</v>
      </c>
      <c r="K56" s="7" t="s">
        <v>26</v>
      </c>
      <c r="L56" s="3">
        <v>15793.797499999999</v>
      </c>
      <c r="M56" s="3">
        <v>18047.593999999997</v>
      </c>
      <c r="N56" s="3">
        <v>19315.945</v>
      </c>
      <c r="O56" s="3">
        <v>15427.33161290323</v>
      </c>
      <c r="P56" s="3">
        <v>17145.494879999995</v>
      </c>
    </row>
    <row r="57" spans="2:16" ht="15" x14ac:dyDescent="0.25">
      <c r="B57" s="7" t="s">
        <v>27</v>
      </c>
      <c r="C57" s="3">
        <v>18491.8624590164</v>
      </c>
      <c r="D57" s="3">
        <v>28971.473636363637</v>
      </c>
      <c r="E57" s="3">
        <v>25981.81111111111</v>
      </c>
      <c r="F57" s="3">
        <v>22182.384444444448</v>
      </c>
      <c r="G57" s="3">
        <v>36580.28</v>
      </c>
      <c r="H57" s="3"/>
      <c r="I57" s="3">
        <v>21063.1632967033</v>
      </c>
      <c r="K57" s="7" t="s">
        <v>27</v>
      </c>
      <c r="L57" s="3">
        <v>19504.950476190475</v>
      </c>
      <c r="M57" s="3">
        <v>18973.973913043479</v>
      </c>
      <c r="N57" s="3">
        <v>23433.8796</v>
      </c>
      <c r="O57" s="3">
        <v>22040.704999999998</v>
      </c>
      <c r="P57" s="3">
        <v>21063.163296703304</v>
      </c>
    </row>
    <row r="58" spans="2:16" ht="15" x14ac:dyDescent="0.25">
      <c r="B58" s="7" t="s">
        <v>46</v>
      </c>
      <c r="C58" s="3">
        <v>12365.975609756097</v>
      </c>
      <c r="D58" s="3">
        <v>12731.171666666663</v>
      </c>
      <c r="E58" s="3">
        <v>15073.56383333333</v>
      </c>
      <c r="F58" s="3">
        <v>15355.318407643304</v>
      </c>
      <c r="G58" s="3">
        <v>13850.656799999997</v>
      </c>
      <c r="H58" s="3">
        <v>8786.0355555555543</v>
      </c>
      <c r="I58" s="3">
        <v>13270.42226457399</v>
      </c>
      <c r="K58" s="7" t="s">
        <v>46</v>
      </c>
      <c r="L58" s="3">
        <v>13406.38456790123</v>
      </c>
      <c r="M58" s="3">
        <v>12417.575169230769</v>
      </c>
      <c r="N58" s="3">
        <v>14735.4114835165</v>
      </c>
      <c r="O58" s="3">
        <v>12346.937476923071</v>
      </c>
      <c r="P58" s="3">
        <v>13270.422264573992</v>
      </c>
    </row>
    <row r="59" spans="2:16" ht="15" x14ac:dyDescent="0.25">
      <c r="B59"/>
      <c r="C59"/>
      <c r="D59"/>
      <c r="K59"/>
      <c r="L59"/>
      <c r="M59"/>
    </row>
    <row r="60" spans="2:16" ht="15" x14ac:dyDescent="0.25">
      <c r="B60"/>
      <c r="C60"/>
      <c r="D60"/>
      <c r="K60"/>
      <c r="L60"/>
      <c r="M60"/>
    </row>
    <row r="61" spans="2:16" ht="15" x14ac:dyDescent="0.25">
      <c r="B61"/>
      <c r="C61"/>
      <c r="D61"/>
      <c r="K61"/>
      <c r="L61"/>
      <c r="M61"/>
    </row>
    <row r="62" spans="2:16" ht="15" x14ac:dyDescent="0.25">
      <c r="B62"/>
      <c r="C62"/>
      <c r="D62"/>
      <c r="K62"/>
      <c r="L62"/>
      <c r="M62"/>
    </row>
    <row r="63" spans="2:16" ht="15" x14ac:dyDescent="0.25">
      <c r="B63" s="8" t="s">
        <v>49</v>
      </c>
      <c r="C63"/>
      <c r="D63"/>
      <c r="K63" s="8" t="s">
        <v>50</v>
      </c>
      <c r="L63"/>
      <c r="M63"/>
    </row>
    <row r="65" spans="2:16" ht="15" x14ac:dyDescent="0.25">
      <c r="B65" s="6" t="s">
        <v>48</v>
      </c>
      <c r="C65" s="6" t="s">
        <v>47</v>
      </c>
      <c r="D65"/>
      <c r="E65"/>
      <c r="F65"/>
      <c r="G65"/>
      <c r="H65"/>
      <c r="I65"/>
      <c r="K65" s="6" t="s">
        <v>48</v>
      </c>
      <c r="L65" s="6" t="s">
        <v>47</v>
      </c>
      <c r="M65"/>
      <c r="N65"/>
    </row>
    <row r="66" spans="2:16" ht="15" x14ac:dyDescent="0.25">
      <c r="B66" s="6" t="s">
        <v>45</v>
      </c>
      <c r="C66" t="s">
        <v>7</v>
      </c>
      <c r="D66" t="s">
        <v>10</v>
      </c>
      <c r="E66" t="s">
        <v>46</v>
      </c>
      <c r="F66"/>
      <c r="G66"/>
      <c r="H66"/>
      <c r="I66"/>
      <c r="K66" s="6" t="s">
        <v>45</v>
      </c>
      <c r="L66" t="s">
        <v>11</v>
      </c>
      <c r="M66" t="s">
        <v>8</v>
      </c>
      <c r="N66" t="s">
        <v>46</v>
      </c>
    </row>
    <row r="67" spans="2:16" ht="15" x14ac:dyDescent="0.25">
      <c r="B67" s="7" t="s">
        <v>31</v>
      </c>
      <c r="C67" s="3">
        <v>11012.530833333332</v>
      </c>
      <c r="D67" s="3">
        <v>5611.7062500000002</v>
      </c>
      <c r="E67" s="3">
        <v>8852.2009999999991</v>
      </c>
      <c r="F67"/>
      <c r="G67"/>
      <c r="H67"/>
      <c r="I67"/>
      <c r="K67" s="7" t="s">
        <v>23</v>
      </c>
      <c r="L67" s="3">
        <v>7599.6381976744169</v>
      </c>
      <c r="M67" s="3">
        <v>19942.223200000004</v>
      </c>
      <c r="N67" s="3">
        <v>10379.499684684679</v>
      </c>
    </row>
    <row r="68" spans="2:16" ht="15" x14ac:dyDescent="0.25">
      <c r="B68" s="7" t="s">
        <v>23</v>
      </c>
      <c r="C68" s="3">
        <v>10933.946120689654</v>
      </c>
      <c r="D68" s="3">
        <v>9772.7469811320716</v>
      </c>
      <c r="E68" s="3">
        <v>10379.499684684683</v>
      </c>
      <c r="F68"/>
      <c r="G68"/>
      <c r="H68"/>
      <c r="I68"/>
      <c r="K68" s="7" t="s">
        <v>20</v>
      </c>
      <c r="L68" s="3">
        <v>8489.0000306748461</v>
      </c>
      <c r="M68" s="3">
        <v>39264.43904109588</v>
      </c>
      <c r="N68" s="3">
        <v>14119.594135338348</v>
      </c>
    </row>
    <row r="69" spans="2:16" ht="15" x14ac:dyDescent="0.25">
      <c r="B69" s="7" t="s">
        <v>18</v>
      </c>
      <c r="C69" s="3">
        <v>10677.757015706808</v>
      </c>
      <c r="D69" s="3">
        <v>11392.383870967737</v>
      </c>
      <c r="E69" s="3">
        <v>11030.331538461543</v>
      </c>
      <c r="F69"/>
      <c r="G69"/>
      <c r="H69"/>
      <c r="I69"/>
      <c r="K69" s="7" t="s">
        <v>28</v>
      </c>
      <c r="L69" s="3">
        <v>9621.300057471266</v>
      </c>
      <c r="M69" s="3">
        <v>42500.227884615371</v>
      </c>
      <c r="N69" s="3">
        <v>17186.363097345136</v>
      </c>
    </row>
    <row r="70" spans="2:16" ht="15" x14ac:dyDescent="0.25">
      <c r="B70" s="7" t="s">
        <v>20</v>
      </c>
      <c r="C70" s="3">
        <v>13135.750773195885</v>
      </c>
      <c r="D70" s="3">
        <v>15050.645902439011</v>
      </c>
      <c r="E70" s="3">
        <v>14119.594135338348</v>
      </c>
      <c r="F70"/>
      <c r="G70"/>
      <c r="H70"/>
      <c r="I70"/>
      <c r="K70" s="7" t="s">
        <v>29</v>
      </c>
      <c r="L70" s="3">
        <v>8267.5561111111074</v>
      </c>
      <c r="M70" s="3">
        <v>45590.767727272731</v>
      </c>
      <c r="N70" s="3">
        <v>17002.775851063823</v>
      </c>
    </row>
    <row r="71" spans="2:16" ht="15" x14ac:dyDescent="0.25">
      <c r="B71" s="7" t="s">
        <v>29</v>
      </c>
      <c r="C71" s="3">
        <v>15231.916097560972</v>
      </c>
      <c r="D71" s="3">
        <v>18372.686226415102</v>
      </c>
      <c r="E71" s="3">
        <v>17002.775851063827</v>
      </c>
      <c r="F71"/>
      <c r="G71"/>
      <c r="H71"/>
      <c r="I71"/>
      <c r="K71" s="7" t="s">
        <v>18</v>
      </c>
      <c r="L71" s="3">
        <v>8351.2935737704956</v>
      </c>
      <c r="M71" s="3">
        <v>22379.03402777778</v>
      </c>
      <c r="N71" s="3">
        <v>11030.331538461543</v>
      </c>
    </row>
    <row r="72" spans="2:16" ht="15" x14ac:dyDescent="0.25">
      <c r="B72" s="7" t="s">
        <v>28</v>
      </c>
      <c r="C72" s="3">
        <v>15817.381296296291</v>
      </c>
      <c r="D72" s="3">
        <v>18439.329491525426</v>
      </c>
      <c r="E72" s="3">
        <v>17186.363097345136</v>
      </c>
      <c r="F72"/>
      <c r="G72"/>
      <c r="H72"/>
      <c r="I72"/>
      <c r="K72" s="7" t="s">
        <v>31</v>
      </c>
      <c r="L72" s="3">
        <v>5532.992666666667</v>
      </c>
      <c r="M72" s="3">
        <v>18809.825999999997</v>
      </c>
      <c r="N72" s="3">
        <v>8852.2010000000009</v>
      </c>
    </row>
    <row r="73" spans="2:16" ht="15" x14ac:dyDescent="0.25">
      <c r="B73" s="7" t="s">
        <v>46</v>
      </c>
      <c r="C73" s="3">
        <v>12569.578700906352</v>
      </c>
      <c r="D73" s="3">
        <v>13956.751316568048</v>
      </c>
      <c r="E73" s="3">
        <v>13270.422264573992</v>
      </c>
      <c r="F73"/>
      <c r="G73"/>
      <c r="H73"/>
      <c r="I73"/>
      <c r="K73" s="7" t="s">
        <v>46</v>
      </c>
      <c r="L73" s="3">
        <v>8434.2682894736754</v>
      </c>
      <c r="M73" s="3">
        <v>32050.23186131386</v>
      </c>
      <c r="N73" s="3">
        <v>13270.422264573992</v>
      </c>
    </row>
    <row r="74" spans="2:16" ht="15" x14ac:dyDescent="0.25">
      <c r="B74"/>
      <c r="C74"/>
      <c r="D74"/>
      <c r="E74"/>
      <c r="F74"/>
      <c r="G74"/>
      <c r="H74"/>
      <c r="I74"/>
      <c r="K74"/>
      <c r="L74"/>
      <c r="M74"/>
    </row>
    <row r="75" spans="2:16" ht="15" x14ac:dyDescent="0.25">
      <c r="B75"/>
      <c r="C75"/>
      <c r="D75"/>
      <c r="E75"/>
      <c r="F75"/>
      <c r="G75"/>
      <c r="H75"/>
      <c r="I75"/>
      <c r="K75"/>
      <c r="L75"/>
      <c r="M75"/>
    </row>
    <row r="76" spans="2:16" ht="15" x14ac:dyDescent="0.25">
      <c r="B76" s="8" t="s">
        <v>51</v>
      </c>
      <c r="C76"/>
      <c r="D76"/>
      <c r="E76"/>
      <c r="F76"/>
      <c r="G76"/>
      <c r="H76"/>
      <c r="I76"/>
      <c r="K76" s="8" t="s">
        <v>52</v>
      </c>
      <c r="L76"/>
      <c r="M76"/>
    </row>
    <row r="77" spans="2:16" ht="15" x14ac:dyDescent="0.25">
      <c r="C77"/>
      <c r="D77"/>
      <c r="E77"/>
      <c r="F77"/>
      <c r="G77"/>
      <c r="H77"/>
      <c r="I77"/>
      <c r="K77"/>
      <c r="L77"/>
      <c r="M77"/>
    </row>
    <row r="78" spans="2:16" ht="15" x14ac:dyDescent="0.25">
      <c r="B78" s="6" t="s">
        <v>48</v>
      </c>
      <c r="C78" s="6" t="s">
        <v>47</v>
      </c>
      <c r="D78"/>
      <c r="E78"/>
      <c r="F78"/>
      <c r="G78"/>
      <c r="H78"/>
      <c r="I78"/>
      <c r="K78" s="6" t="s">
        <v>48</v>
      </c>
      <c r="L78" s="6" t="s">
        <v>47</v>
      </c>
      <c r="M78"/>
      <c r="N78"/>
      <c r="O78"/>
      <c r="P78"/>
    </row>
    <row r="79" spans="2:16" ht="15" x14ac:dyDescent="0.25">
      <c r="B79" s="6" t="s">
        <v>45</v>
      </c>
      <c r="C79">
        <v>0</v>
      </c>
      <c r="D79">
        <v>1</v>
      </c>
      <c r="E79">
        <v>2</v>
      </c>
      <c r="F79">
        <v>3</v>
      </c>
      <c r="G79">
        <v>4</v>
      </c>
      <c r="H79">
        <v>5</v>
      </c>
      <c r="I79" t="s">
        <v>46</v>
      </c>
      <c r="K79" s="6" t="s">
        <v>45</v>
      </c>
      <c r="L79" t="s">
        <v>14</v>
      </c>
      <c r="M79" t="s">
        <v>13</v>
      </c>
      <c r="N79" t="s">
        <v>12</v>
      </c>
      <c r="O79" t="s">
        <v>9</v>
      </c>
      <c r="P79" t="s">
        <v>46</v>
      </c>
    </row>
    <row r="80" spans="2:16" ht="15" x14ac:dyDescent="0.25">
      <c r="B80" s="7" t="s">
        <v>31</v>
      </c>
      <c r="C80" s="3">
        <v>6203.5499999999993</v>
      </c>
      <c r="D80" s="3">
        <v>3411.105</v>
      </c>
      <c r="E80" s="3">
        <v>14757.398333333331</v>
      </c>
      <c r="F80" s="3"/>
      <c r="G80" s="3"/>
      <c r="H80" s="3">
        <v>19023.259999999998</v>
      </c>
      <c r="I80" s="3">
        <v>8852.2010000000009</v>
      </c>
      <c r="K80" s="7" t="s">
        <v>31</v>
      </c>
      <c r="L80" s="3">
        <v>8914.4249999999993</v>
      </c>
      <c r="M80" s="3">
        <v>9223.3514285714282</v>
      </c>
      <c r="N80" s="3"/>
      <c r="O80" s="3">
        <v>7778.7699999999995</v>
      </c>
      <c r="P80" s="3">
        <v>8852.2010000000009</v>
      </c>
    </row>
    <row r="81" spans="2:16" ht="15" x14ac:dyDescent="0.25">
      <c r="B81" s="7" t="s">
        <v>23</v>
      </c>
      <c r="C81" s="3">
        <v>9907.9722680412342</v>
      </c>
      <c r="D81" s="3">
        <v>10482.920208333333</v>
      </c>
      <c r="E81" s="3">
        <v>10863.956428571428</v>
      </c>
      <c r="F81" s="3">
        <v>11522.646206896554</v>
      </c>
      <c r="G81" s="3">
        <v>11520.1</v>
      </c>
      <c r="H81" s="3">
        <v>7606.4880000000003</v>
      </c>
      <c r="I81" s="3">
        <v>10379.499684684683</v>
      </c>
      <c r="K81" s="7" t="s">
        <v>23</v>
      </c>
      <c r="L81" s="3">
        <v>11151.781666666662</v>
      </c>
      <c r="M81" s="3">
        <v>10032.506451612902</v>
      </c>
      <c r="N81" s="3">
        <v>13286.808249999998</v>
      </c>
      <c r="O81" s="3">
        <v>7246.5191666666678</v>
      </c>
      <c r="P81" s="3">
        <v>10379.499684684686</v>
      </c>
    </row>
    <row r="82" spans="2:16" ht="15" x14ac:dyDescent="0.25">
      <c r="B82" s="7" t="s">
        <v>18</v>
      </c>
      <c r="C82" s="3">
        <v>10314.582222222225</v>
      </c>
      <c r="D82" s="3">
        <v>10848.394</v>
      </c>
      <c r="E82" s="3">
        <v>11478.9237037037</v>
      </c>
      <c r="F82" s="3">
        <v>13746.426410256414</v>
      </c>
      <c r="G82" s="3">
        <v>12261.152499999998</v>
      </c>
      <c r="H82" s="3">
        <v>9056.9920000000002</v>
      </c>
      <c r="I82" s="3">
        <v>11030.331538461542</v>
      </c>
      <c r="K82" s="7" t="s">
        <v>18</v>
      </c>
      <c r="L82" s="3">
        <v>10818.593571428573</v>
      </c>
      <c r="M82" s="3">
        <v>11503.928490566035</v>
      </c>
      <c r="N82" s="3">
        <v>10846.20213333333</v>
      </c>
      <c r="O82" s="3">
        <v>10870.726938775508</v>
      </c>
      <c r="P82" s="3">
        <v>11030.331538461547</v>
      </c>
    </row>
    <row r="83" spans="2:16" ht="15" x14ac:dyDescent="0.25">
      <c r="B83" s="7" t="s">
        <v>20</v>
      </c>
      <c r="C83" s="3">
        <v>13964.532275449103</v>
      </c>
      <c r="D83" s="3">
        <v>12086.217065217392</v>
      </c>
      <c r="E83" s="3">
        <v>15748.54635135135</v>
      </c>
      <c r="F83" s="3">
        <v>15874.632592592601</v>
      </c>
      <c r="G83" s="3">
        <v>16921.00375</v>
      </c>
      <c r="H83" s="3">
        <v>7929.6449999999995</v>
      </c>
      <c r="I83" s="3">
        <v>14119.59413533835</v>
      </c>
      <c r="K83" s="7" t="s">
        <v>20</v>
      </c>
      <c r="L83" s="3">
        <v>15505.288876404495</v>
      </c>
      <c r="M83" s="3">
        <v>13281.283396226419</v>
      </c>
      <c r="N83" s="3">
        <v>13700.589500000004</v>
      </c>
      <c r="O83" s="3">
        <v>14191.080384615392</v>
      </c>
      <c r="P83" s="3">
        <v>14119.594135338328</v>
      </c>
    </row>
    <row r="84" spans="2:16" ht="15" x14ac:dyDescent="0.25">
      <c r="B84" s="7" t="s">
        <v>29</v>
      </c>
      <c r="C84" s="3">
        <v>15191.016904761904</v>
      </c>
      <c r="D84" s="3">
        <v>15831.325500000001</v>
      </c>
      <c r="E84" s="3">
        <v>21832.797777777774</v>
      </c>
      <c r="F84" s="3">
        <v>20935.170999999995</v>
      </c>
      <c r="G84" s="3">
        <v>11005.434999999999</v>
      </c>
      <c r="H84" s="3">
        <v>9629.3850000000002</v>
      </c>
      <c r="I84" s="3">
        <v>17002.775851063827</v>
      </c>
      <c r="K84" s="7" t="s">
        <v>29</v>
      </c>
      <c r="L84" s="3">
        <v>15522.108125000002</v>
      </c>
      <c r="M84" s="3">
        <v>15679.578749999999</v>
      </c>
      <c r="N84" s="3">
        <v>18488.602321428574</v>
      </c>
      <c r="O84" s="3">
        <v>13507.774285714286</v>
      </c>
      <c r="P84" s="3">
        <v>17002.77585106383</v>
      </c>
    </row>
    <row r="85" spans="2:16" ht="15" x14ac:dyDescent="0.25">
      <c r="B85" s="7" t="s">
        <v>28</v>
      </c>
      <c r="C85" s="3">
        <v>14846.420824742274</v>
      </c>
      <c r="D85" s="3">
        <v>18917.003272727277</v>
      </c>
      <c r="E85" s="3">
        <v>19447.393260869561</v>
      </c>
      <c r="F85" s="3">
        <v>18957.429999999997</v>
      </c>
      <c r="G85" s="3">
        <v>15116.795000000002</v>
      </c>
      <c r="H85" s="3">
        <v>4830.63</v>
      </c>
      <c r="I85" s="3">
        <v>17186.363097345136</v>
      </c>
      <c r="K85" s="7" t="s">
        <v>28</v>
      </c>
      <c r="L85" s="3">
        <v>19565.370769230769</v>
      </c>
      <c r="M85" s="3">
        <v>16568.443888888884</v>
      </c>
      <c r="N85" s="3">
        <v>17347.651720430105</v>
      </c>
      <c r="O85" s="3">
        <v>15711.603620689653</v>
      </c>
      <c r="P85" s="3">
        <v>17186.363097345129</v>
      </c>
    </row>
    <row r="86" spans="2:16" ht="15" x14ac:dyDescent="0.25">
      <c r="B86" s="7" t="s">
        <v>46</v>
      </c>
      <c r="C86" s="3">
        <v>12365.975609756104</v>
      </c>
      <c r="D86" s="3">
        <v>12731.171666666669</v>
      </c>
      <c r="E86" s="3">
        <v>15073.563833333341</v>
      </c>
      <c r="F86" s="3">
        <v>15355.318407643317</v>
      </c>
      <c r="G86" s="3">
        <v>13850.656799999997</v>
      </c>
      <c r="H86" s="3">
        <v>8786.0355555555561</v>
      </c>
      <c r="I86" s="3">
        <v>13270.422264573992</v>
      </c>
      <c r="K86" s="7" t="s">
        <v>46</v>
      </c>
      <c r="L86" s="3">
        <v>13406.384567901228</v>
      </c>
      <c r="M86" s="3">
        <v>12417.575169230775</v>
      </c>
      <c r="N86" s="3">
        <v>14735.411483516487</v>
      </c>
      <c r="O86" s="3">
        <v>12346.937476923078</v>
      </c>
      <c r="P86" s="3">
        <v>13270.422264573986</v>
      </c>
    </row>
    <row r="87" spans="2:16" ht="15" x14ac:dyDescent="0.25">
      <c r="B87"/>
      <c r="C87"/>
      <c r="D87"/>
      <c r="K87"/>
      <c r="L87"/>
      <c r="M87"/>
    </row>
    <row r="88" spans="2:16" ht="15" x14ac:dyDescent="0.25">
      <c r="B88"/>
      <c r="C88"/>
      <c r="D88"/>
      <c r="K88"/>
      <c r="L88"/>
      <c r="M88"/>
    </row>
    <row r="89" spans="2:16" ht="15" x14ac:dyDescent="0.25">
      <c r="B89"/>
      <c r="C89"/>
      <c r="D89"/>
      <c r="K89"/>
      <c r="L89"/>
      <c r="M89"/>
    </row>
    <row r="90" spans="2:16" ht="15" x14ac:dyDescent="0.25">
      <c r="B90"/>
      <c r="C90"/>
      <c r="D90"/>
      <c r="K90"/>
      <c r="L90"/>
      <c r="M90"/>
    </row>
    <row r="91" spans="2:16" ht="15" x14ac:dyDescent="0.25">
      <c r="B91"/>
      <c r="C91"/>
      <c r="D91"/>
      <c r="K91"/>
      <c r="L91"/>
      <c r="M91"/>
    </row>
    <row r="92" spans="2:16" ht="15" x14ac:dyDescent="0.25">
      <c r="B92"/>
      <c r="C92"/>
      <c r="D92"/>
      <c r="K92"/>
      <c r="L92"/>
      <c r="M92"/>
    </row>
    <row r="93" spans="2:16" ht="15" x14ac:dyDescent="0.25">
      <c r="B93"/>
      <c r="C93"/>
      <c r="D93"/>
      <c r="K93"/>
      <c r="L93"/>
      <c r="M93"/>
    </row>
    <row r="94" spans="2:16" ht="15" x14ac:dyDescent="0.25">
      <c r="B94"/>
      <c r="C94"/>
      <c r="D94"/>
      <c r="K94"/>
      <c r="L94"/>
      <c r="M94"/>
    </row>
    <row r="95" spans="2:16" ht="15" x14ac:dyDescent="0.25">
      <c r="B95"/>
      <c r="C95"/>
      <c r="D95"/>
      <c r="K95"/>
      <c r="L95"/>
      <c r="M95"/>
    </row>
  </sheetData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66D5-07A8-46E7-BFB4-FF27BF239E54}">
  <dimension ref="L5:R7"/>
  <sheetViews>
    <sheetView tabSelected="1" workbookViewId="0">
      <selection activeCell="R8" sqref="R8"/>
    </sheetView>
  </sheetViews>
  <sheetFormatPr defaultRowHeight="15" x14ac:dyDescent="0.25"/>
  <cols>
    <col min="1" max="16384" width="9.140625" style="1"/>
  </cols>
  <sheetData>
    <row r="5" spans="12:18" x14ac:dyDescent="0.25">
      <c r="R5" s="2"/>
    </row>
    <row r="7" spans="12:18" x14ac:dyDescent="0.25">
      <c r="L7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9A07-4B00-4F57-A2CB-833B96FBA6BE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A612-A669-453F-8CD3-20592461E127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8A4CB-4C7E-42D5-B92A-EFFB55DDB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</vt:lpstr>
      <vt:lpstr>Table1</vt:lpstr>
      <vt:lpstr>PivotTables</vt:lpstr>
      <vt:lpstr>Overview</vt:lpstr>
      <vt:lpstr>Age Insights</vt:lpstr>
      <vt:lpstr>BMI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Bedan Kung'u Njoroge</dc:creator>
  <cp:lastModifiedBy>Bedan Kung'u Njoroge</cp:lastModifiedBy>
  <dcterms:created xsi:type="dcterms:W3CDTF">2025-11-05T09:40:29Z</dcterms:created>
  <dcterms:modified xsi:type="dcterms:W3CDTF">2025-11-10T09:20:18Z</dcterms:modified>
</cp:coreProperties>
</file>